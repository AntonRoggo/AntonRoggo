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mc:AlternateContent xmlns:mc="http://schemas.openxmlformats.org/markup-compatibility/2006">
    <mc:Choice Requires="x15">
      <x15ac:absPath xmlns:x15ac="http://schemas.microsoft.com/office/spreadsheetml/2010/11/ac" url="/Users/antonroggo/Downloads/"/>
    </mc:Choice>
  </mc:AlternateContent>
  <xr:revisionPtr revIDLastSave="0" documentId="8_{75927083-0092-A747-8B43-F0F18B3FADC5}" xr6:coauthVersionLast="47" xr6:coauthVersionMax="47" xr10:uidLastSave="{00000000-0000-0000-0000-000000000000}"/>
  <bookViews>
    <workbookView xWindow="0" yWindow="760" windowWidth="34560" windowHeight="20060" xr2:uid="{00000000-000D-0000-FFFF-FFFF00000000}"/>
  </bookViews>
  <sheets>
    <sheet name="Completed worksheet" sheetId="1" r:id="rId1"/>
    <sheet name="Review patterns" sheetId="2" r:id="rId2"/>
    <sheet name="Ad audit" sheetId="3" r:id="rId3"/>
    <sheet name="Evidence quotes" sheetId="4" r:id="rId4"/>
    <sheet name="Source coverage"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9" i="2" l="1"/>
  <c r="C38" i="2"/>
  <c r="C37" i="2"/>
  <c r="C36" i="2"/>
  <c r="C35" i="2"/>
  <c r="G29" i="2"/>
  <c r="E29" i="2"/>
  <c r="C29" i="2"/>
  <c r="G28" i="2"/>
  <c r="E28" i="2"/>
  <c r="C28" i="2"/>
  <c r="G27" i="2"/>
  <c r="E27" i="2"/>
  <c r="C27" i="2"/>
  <c r="G26" i="2"/>
  <c r="E26" i="2"/>
  <c r="C26" i="2"/>
  <c r="G25" i="2"/>
  <c r="E25" i="2"/>
  <c r="C25" i="2"/>
  <c r="G24" i="2"/>
  <c r="E24" i="2"/>
  <c r="C24" i="2"/>
  <c r="G23" i="2"/>
  <c r="E23" i="2"/>
  <c r="C23" i="2"/>
  <c r="G22" i="2"/>
  <c r="E22" i="2"/>
  <c r="C22" i="2"/>
  <c r="G21" i="2"/>
  <c r="E21" i="2"/>
  <c r="C21" i="2"/>
  <c r="G20" i="2"/>
  <c r="E20" i="2"/>
  <c r="C20" i="2"/>
  <c r="G19" i="2"/>
  <c r="E19" i="2"/>
  <c r="C19" i="2"/>
  <c r="G18" i="2"/>
  <c r="E18" i="2"/>
  <c r="C18" i="2"/>
  <c r="G17" i="2"/>
  <c r="E17" i="2"/>
  <c r="C17" i="2"/>
  <c r="G16" i="2"/>
  <c r="E16" i="2"/>
  <c r="C16" i="2"/>
  <c r="G15" i="2"/>
  <c r="E15" i="2"/>
  <c r="C15" i="2"/>
  <c r="G14" i="2"/>
  <c r="E14" i="2"/>
  <c r="C14" i="2"/>
  <c r="G13" i="2"/>
  <c r="E13" i="2"/>
  <c r="C13" i="2"/>
  <c r="G12" i="2"/>
  <c r="E12" i="2"/>
  <c r="C12" i="2"/>
  <c r="G11" i="2"/>
  <c r="E11" i="2"/>
  <c r="C11" i="2"/>
  <c r="G10" i="2"/>
  <c r="E10" i="2"/>
  <c r="C10" i="2"/>
  <c r="G9" i="2"/>
  <c r="E9" i="2"/>
  <c r="C9" i="2"/>
  <c r="G8" i="2"/>
  <c r="E8" i="2"/>
  <c r="C8" i="2"/>
  <c r="G7" i="2"/>
  <c r="E7" i="2"/>
  <c r="C7" i="2"/>
</calcChain>
</file>

<file path=xl/sharedStrings.xml><?xml version="1.0" encoding="utf-8"?>
<sst xmlns="http://schemas.openxmlformats.org/spreadsheetml/2006/main" count="1093" uniqueCount="926">
  <si>
    <t>The Tallowed Truth customer analysis</t>
  </si>
  <si>
    <t>September 11, 2026</t>
  </si>
  <si>
    <t>Completed questionnaire. Interpretations and gaps are labeled beside each answer.</t>
  </si>
  <si>
    <t>Prompt</t>
  </si>
  <si>
    <t>Completed response</t>
  </si>
  <si>
    <t>Evidence type</t>
  </si>
  <si>
    <t>Source keys</t>
  </si>
  <si>
    <t>Conclusion</t>
  </si>
  <si>
    <t>The Promise</t>
  </si>
  <si>
    <t>F-Balm helps moisturize dry skin and leaves it feeling softer, with a simple balm made by a company customers can get to know. This is the strongest positioning promise supported by the supplied customer evidence. A healthier-looking glow and less visible dryness can support it. A fixed number of years younger, a five-day transformation, or replacement of Botox is not established by these files.</t>
  </si>
  <si>
    <t>Proposed position</t>
  </si>
  <si>
    <t>R28071; R30; R8398; C218; C472; A10</t>
  </si>
  <si>
    <t>The Problem</t>
  </si>
  <si>
    <t>The customer has dry, tight, rough or tired-looking skin and is disappointed by products that cost money, complicate the routine, or feel wrong on the skin. Visible aging adds emotional weight. The buying problem is uncertainty: will this unusual balm suit my face, and can I trust the company and its promises?</t>
  </si>
  <si>
    <t>Interpretation</t>
  </si>
  <si>
    <t>R27076; R28071; R15709; C25; C36; C65</t>
  </si>
  <si>
    <t>The Solution</t>
  </si>
  <si>
    <t>A concentrated tallow-based moisturizing step for face and dry areas, used in a small amount. Explain the texture and demonstrate application on damp skin. Help shoppers choose between the richer F-Balm and a lighter-feeling option based on their preferences. Describe the expected feel honestly and make product selection and the refund process easy to understand.</t>
  </si>
  <si>
    <t>A06; A05; R14224; C296; C535</t>
  </si>
  <si>
    <t>The USP and Mechanism</t>
  </si>
  <si>
    <t>The Original formula described in the scripts combines beef tallow, olive oil, honey, beeswax and frankincense. The basic explanation is a rich moisturizing balm, supported by repeated reports of softness and moisture. The brand describes triple purification and Canadian production, but the supplied files do not establish a patented process, nutrient retention, or superior absorption. Five ingredients, tallow, honey, natural positioning and simplicity are shared with competitors. The more defensible distinction is the combination of an identifiable founder, Canadian manufacturing story, direct customer contact, distinctive values and a substantial body of customer feedback. Verify operational and formula details before turning them into exclusivity claims.</t>
  </si>
  <si>
    <t>Mixed</t>
  </si>
  <si>
    <t>A03; A06; A14; A29; W1; W2; W4; W5; W7</t>
  </si>
  <si>
    <t>Outcome</t>
  </si>
  <si>
    <t>Skin that feels comfortable, soft and moisturized; a fresher appearance; and a routine the customer enjoys enough to repeat. Emotionally, the customer wants to feel attractive and cared for while still looking like herself. Compliments are a welcome payoff. For many, relief from dryness and a pleasant daily feel are sufficient value even if wrinkles remain.</t>
  </si>
  <si>
    <t>R28071; R19341; C158; C469; C470; C472; A10</t>
  </si>
  <si>
    <t>Avatar summary</t>
  </si>
  <si>
    <t>Our primary working avatar is a woman in midlife or later life who wants comfortable, healthy-looking skin and is tired of cycling through skincare. She is interested in natural ingredients and may prefer aging without procedures. She wants plain answers about smell, texture, breakouts, which product to buy and whether the seller is trustworthy. Canada and the US are the clearest markets in the supplied location data. Men, younger adults, family shoppers and outdoor buyers are meaningful secondary segments. Demographic proportions are not measured.</t>
  </si>
  <si>
    <t>A02; A10; A16; A30; R27076; R28071; C107; C173; C213; M6</t>
  </si>
  <si>
    <t>Top problem and pain point 1</t>
  </si>
  <si>
    <t>Persistent dryness and uncomfortable skin. Tightness, flaking, roughness and frequent reapplication create a daily problem. The customer wants her skin to feel normal and comfortable again. This is a strategic priority inferred from 3,231 dryness/cracking mentions, 4,130 moisture/hydration mentions and detailed customer accounts.</t>
  </si>
  <si>
    <t>T03; T02; R28071; C263; C343</t>
  </si>
  <si>
    <t>Top problem and pain point 2</t>
  </si>
  <si>
    <t>Looking tired or older than she feels. Fine lines, dullness and changes in skin texture can affect confidence. The desired result is healthy-looking, recognizable skin and sometimes compliments. The priority comes from the ad selection plus customer testimony; it is not the second-largest review keyword category.</t>
  </si>
  <si>
    <t>T08; T09; A01; A09; A15; A23; R19341; C470</t>
  </si>
  <si>
    <t>Top problem and pain point 3</t>
  </si>
  <si>
    <t>Another disappointing purchase. Expensive routines, inconsistent results, bad smell, heaviness and online-shopping distrust make trying another product feel costly. The barrier includes the inconvenience of refunds, not just the purchase price.</t>
  </si>
  <si>
    <t>R27076; R4734; R2501; C25; C65; C103</t>
  </si>
  <si>
    <t>Substantiation</t>
  </si>
  <si>
    <t>Data</t>
  </si>
  <si>
    <t>38,913 published review entries were supplied, spanning June 12, 2023 to September 3, 2026. Exact author/text/rating/timestamp grouping leaves 35,152 review events, averaging 4.69/5, including 29,299 five-star events. These are review events, not unique buyers or proof of purchase. There are 530 captured Facebook comments and 21 full ad scripts. Spend, sales, ROAS, conversion rates, refunds and customer cohort data were not supplied.</t>
  </si>
  <si>
    <t>Observed and calculated</t>
  </si>
  <si>
    <t>M1; M2; M3; M4</t>
  </si>
  <si>
    <t>Science</t>
  </si>
  <si>
    <t>A 2024 scoping review screened 147 studies and included 19. It identifies substantial gaps in human topical-tallow research. It is category context, not a clinical test of F-Balm. No finished-product trial, measured wrinkle reduction, absorption comparison or vitamin assay was supplied.</t>
  </si>
  <si>
    <t>External evidence and gap</t>
  </si>
  <si>
    <t>W7</t>
  </si>
  <si>
    <t>Patents</t>
  </si>
  <si>
    <t>No patent number, patent document or exclusive process rights were supplied. Treat triple purification as a described production process, not patented technology.</t>
  </si>
  <si>
    <t>Gap</t>
  </si>
  <si>
    <t>A04; A14; W1</t>
  </si>
  <si>
    <t>Testimonials</t>
  </si>
  <si>
    <t>The files contain detailed customer accounts, Facebook reports and two customer-call transcripts. They support what those customers say they experienced. Preserve qualifications and product identity. The founder offers free products during both calls; keep that context if the clips are reused.</t>
  </si>
  <si>
    <t>Observed</t>
  </si>
  <si>
    <t>A10; A16; R28071; R27076; C300</t>
  </si>
  <si>
    <t>Demonstrations</t>
  </si>
  <si>
    <t>Scripts describe facility walkthroughs, products, ingredient labels and application. The comment index includes a tick demonstration title, but its full script and footage are absent. No raw video or controlled before-and-after material was evaluated here. A facility demonstration can support a manufacturing story without proving an anti-aging outcome.</t>
  </si>
  <si>
    <t>Observed and gap</t>
  </si>
  <si>
    <t>A03; A06; A08; A11; A24</t>
  </si>
  <si>
    <t>PR</t>
  </si>
  <si>
    <t>No independent editorial coverage of The Tallowed Truth was supplied or established in the limited external check. Founder content and customer comments are not independent press.</t>
  </si>
  <si>
    <t>M1–M4</t>
  </si>
  <si>
    <t>Associations</t>
  </si>
  <si>
    <t>No professional association membership, accreditation or formal partnership documentation was supplied. Farmer relationships and community affinity appear in brand messaging but are different from third-party accreditation.</t>
  </si>
  <si>
    <t>A03; A06; A07</t>
  </si>
  <si>
    <t>Reviews</t>
  </si>
  <si>
    <t>The deduplicated set contains 32,235 four- or five-star events (91.7%) and 1,282 one- or two-star events (3.6%). Negative and mixed experiences remain part of the analysis. The export is published reviews with curated status “ok”; it does not establish the completeness of submitted reviews. Trustpilot rating and verified-buyer status are not provided.</t>
  </si>
  <si>
    <t>M1; T01–T23</t>
  </si>
  <si>
    <t>Celebrity endorsements</t>
  </si>
  <si>
    <t>None established. A founder, family member or attractive-neighbor story is not a celebrity endorsement.</t>
  </si>
  <si>
    <t>A01; A02; A23</t>
  </si>
  <si>
    <t>Authority endorsements</t>
  </si>
  <si>
    <t>The plastic-surgeon ad retells a customer’s email about a conversation and compliment. The surgeon is unnamed and no direct endorsement is supplied. Comments from people describing themselves as cosmeticians or estheticians are customer statements, including conflicting views.</t>
  </si>
  <si>
    <t>A13; C213; C226; C376</t>
  </si>
  <si>
    <t>Awards</t>
  </si>
  <si>
    <t>No award certificate, awarding organization or verified award claim was supplied.</t>
  </si>
  <si>
    <t>Trust seals</t>
  </si>
  <si>
    <t>No finished-product certification or trust-seal documentation was supplied. Ingredient adjectives and review stars should not be treated as certification.</t>
  </si>
  <si>
    <t>A06; A14</t>
  </si>
  <si>
    <t>Historical proof</t>
  </si>
  <si>
    <t>Ancestral skincare and the founders’ mother’s use of tallow are brand story elements. They can explain inspiration, but the files do not provide independent historical documentation or evidence of present-day F-Balm efficacy.</t>
  </si>
  <si>
    <t>A23</t>
  </si>
  <si>
    <t>Mechanism logic and depth</t>
  </si>
  <si>
    <t>A rich balm providing moisture and a softer feel is consistent with the customer accounts. The current offer page describes triple purification as melting and straining three times. Missing substantiation includes before/after nutrient assays, stability and safety testing, skin hydration measurements, and head-to-head evidence for superiority claims. Do not convert an ingredient explanation into proof of a clinical outcome.</t>
  </si>
  <si>
    <t>A14; R30; R8398; W1; W7</t>
  </si>
  <si>
    <t>Story</t>
  </si>
  <si>
    <t>The strongest available stories are the founder meeting hesitant shoppers, a real manufacturing operation, gratitude calls to repeat customers and a family origin. Values are explicit and polarizing: some customers cite them as a reason to support the brand, while others object. These stories support identity and trust; they do not independently establish product efficacy.</t>
  </si>
  <si>
    <t>A03; A05; A10; A12; A16; A23; C44; C261; C357–C366</t>
  </si>
  <si>
    <t>Case studies</t>
  </si>
  <si>
    <t>R28071 and R27076 provide detailed accounts of prior attempts, hesitation, use and perceived changes. They are candidates for follow-up interviews, not controlled case studies. The export has 90 entries with picture URLs, but the pictures were not inspected. No standardized photography, treatment controls or verified results timeline is established.</t>
  </si>
  <si>
    <t>R28071; R27076; M1</t>
  </si>
  <si>
    <t>Assumptions</t>
  </si>
  <si>
    <t>Who are they?</t>
  </si>
  <si>
    <t>People seeking a practical way to make their skin feel and look better, with an unusually visible older-women segment in the selected ads and comments. Their purchasing role often extends to a partner or family. Natural ingredients, a small business and recognizable values can make the brand more appealing, but none is a universal requirement.</t>
  </si>
  <si>
    <t>A02; A10; A16; C134; C261; R14056</t>
  </si>
  <si>
    <t>Age</t>
  </si>
  <si>
    <t>Use approximately 45–75+ as a creative-planning hypothesis for the core facial-skincare audience, with secondary adults from their 20s onward. The scripts explicitly mention 30s through 70s, and customers self-report ages including 37, 52, 59, 68, 71 and 74. The 84-year-old review expands the range. There is no customer-age distribution from which to calculate a median or majority.</t>
  </si>
  <si>
    <t>Interpretation with direct examples</t>
  </si>
  <si>
    <t>A02; A16; A30; C139; C173; C215; C510; R13902</t>
  </si>
  <si>
    <t>Gender</t>
  </si>
  <si>
    <t>Women are repeatedly featured and explicitly described as the main buyers in the scripts. Men also use and buy the products. Treat women as the primary creative audience, not a measured percentage of customers. No gender was inferred from reviewer names.</t>
  </si>
  <si>
    <t>A02; A30; R8805; R14056; C134</t>
  </si>
  <si>
    <t>Marital status</t>
  </si>
  <si>
    <t>Unknown as a customer-wide attribute. Spouses, partners and unmarried family relationships appear, but the married neighbor is one story, not a reliable marital-status profile.</t>
  </si>
  <si>
    <t>Unknown with examples</t>
  </si>
  <si>
    <t>A02; R14056; C97; C493</t>
  </si>
  <si>
    <t>Family and kids</t>
  </si>
  <si>
    <t>Family purchasers and sharers are supported: partners, adult children, sisters, grandchildren and gift recipients appear. Some buy for a household rather than only themselves. Family status and number of children are not measured.</t>
  </si>
  <si>
    <t>A16; R14056; C134; C138; C404</t>
  </si>
  <si>
    <t>Income</t>
  </si>
  <si>
    <t>Unknown. Comments show both prior spending on expensive skincare and difficulty affording another tin. Plan for value-conscious buyers who may pay for a product they trust. Do not infer affluence from the Caribbean ad or invent a household-income band.</t>
  </si>
  <si>
    <t>Unknown with behavioral evidence</t>
  </si>
  <si>
    <t>R28071; R4734; C25; C152; C373; A23</t>
  </si>
  <si>
    <t>Geographic</t>
  </si>
  <si>
    <t>Canada and the US are supported markets. Only 3,704 raw entries contain a location: 2,826 say Canada and 869 the US. This small, uneven subset is insufficient to estimate sales mix. Dry-weather examples include Alberta and Colorado; outdoor comments include several Canadian provinces and US locations.</t>
  </si>
  <si>
    <t>Observed with limitation</t>
  </si>
  <si>
    <t>M6; R27696; C184; C420; C434</t>
  </si>
  <si>
    <t>Education</t>
  </si>
  <si>
    <t>Not established. Customers ask practical ingredient and application questions, but that does not reveal education level. Use clear explanations without assumptions about schooling.</t>
  </si>
  <si>
    <t>Unknown</t>
  </si>
  <si>
    <t>C57; C103; C226; C246</t>
  </si>
  <si>
    <t>Job</t>
  </si>
  <si>
    <t>No dominant occupation is established. Individual comments mention massage, cosmetician/esthetician work, military service and phlebotomy. These are useful specific stories rather than a profession-based avatar.</t>
  </si>
  <si>
    <t>C203; C213; C261; C376; C505</t>
  </si>
  <si>
    <t>What problems do they currently face?</t>
  </si>
  <si>
    <t>Dryness, tightness, rough texture, visible lines and dullness; sensitivity or breakouts for a subset; and frustration with previous skincare. At purchase, product confusion, scent uncertainty and distrust of online sellers add friction. Field Balm buyers face a separate outdoor-use problem.</t>
  </si>
  <si>
    <t>R27076; R28071; R3212; C22; C25; C164; C425</t>
  </si>
  <si>
    <t>What are they currently doing to solve the problem themselves?</t>
  </si>
  <si>
    <t>Using moisturizers, luxury and drugstore skincare, serums, retinol, body lotions, castor oil, other tallow brands or homemade tallow. Some have tried cosmetic procedures. Customers also change how much balm they use, choose nighttime use, or move it from face to hands if the facial feel is unsuitable.</t>
  </si>
  <si>
    <t>R28071; R15709; R2715; C14; C29; C57; C173; C252; C286</t>
  </si>
  <si>
    <t>What limiting beliefs do they carry?</t>
  </si>
  <si>
    <t>Possible barriers are “beef fat will be greasy or smell,” “this could cause breakouts,” “a small tin is poor value,” “Facebook sellers may be unreliable,” and “I need expensive products for results.” These include real preferences and prior experiences, not merely mistaken beliefs.</t>
  </si>
  <si>
    <t>R27076; R2439; R2715; C25; C36; C65; C152</t>
  </si>
  <si>
    <t>How strong are those beliefs and why?</t>
  </si>
  <si>
    <t>Strong enough to delay trial in some cases. One commenter watched the ads for at least a year before purchasing; another refuses Facebook purchases after two bad experiences. A detailed review describes waiting for relevant reviews before trying F-Balm. This establishes meaningful friction for those people, not a measured conversion loss.</t>
  </si>
  <si>
    <t>C306; C65; R27076</t>
  </si>
  <si>
    <t>Who or what is fueling those beliefs?</t>
  </si>
  <si>
    <t>Prior product disappointments, actual reactions, scent and texture experiences, friends or beauty professionals, online skin advice and repeated ads with similar claims. The ad itself can create doubt when it promises a dramatic transformation without showing the person or result.</t>
  </si>
  <si>
    <t>C23; C26; C36; C112; C226; R3212</t>
  </si>
  <si>
    <t>Where do their limitations lie? What will they not give up?</t>
  </si>
  <si>
    <t>They may not tolerate a lingering smell, greasy daytime face, new breakouts, makeup that stops sitting well, a complicated routine or unwanted recurring charges. Some reject animal ingredients or the brand’s politics. Others want natural aging while keeping hair coloring or other appearance choices. These boundaries vary by segment.</t>
  </si>
  <si>
    <t>R2715; C25; C43; C44; C108; C218; C469</t>
  </si>
  <si>
    <t>How aware are they of their problem?</t>
  </si>
  <si>
    <t>The core audience is problem-aware and often solution-aware: they already know dryness, visible aging or skincare disappointment. Repeated viewers asking whether the company is real are product-aware. New viewers asking what tallow is remain category beginners. Repeat buyers are most-aware. Use different explanations for each group.</t>
  </si>
  <si>
    <t>C58; C116; C164; C173; C306; A05; A10</t>
  </si>
  <si>
    <t>What negative experiences have they had while trying to solve it?</t>
  </si>
  <si>
    <t>Products that failed to improve wrinkles, moisturizers that did not last, heavy or waxy finishes, offensive smells, breakouts, sensitivity and disappointing online purchases. Some reviewers describe slow or absent refund responses. These are reported experiences, not adjudicated causes or verified service rates.</t>
  </si>
  <si>
    <t>R2501; R2715; R3212; R5479; R6399; C65; C218</t>
  </si>
  <si>
    <t>What situation are they in and what is their role?</t>
  </si>
  <si>
    <t>They are often the person choosing a daily routine and deciding whether another purchase is worth it. Some are experienced skincare buyers who want fewer steps; others are new to tallow. A parent or household buyer may purchase for several people and later recommend the brand.</t>
  </si>
  <si>
    <t>R15709; R27076; A16; C134; C250</t>
  </si>
  <si>
    <t>What do they see in the marketplace?</t>
  </si>
  <si>
    <t>Many tallow sellers repeat natural, simple-ingredient and sourcing claims. Conventional skincare offers hydration, firmer-looking skin and wrinkle improvements using ingredient and testing narratives. In the supplied comments, buyers also compare local makers, DIY tallow, cheaper online alternatives and castor oil.</t>
  </si>
  <si>
    <t>Observed and interpretation</t>
  </si>
  <si>
    <t>C14; C23; C57; C88; C110; W4; W5; W6</t>
  </si>
  <si>
    <t>What do they see in their immediate environment?</t>
  </si>
  <si>
    <t>Their own changing skin, a bathroom routine that may feel excessive, local dryness or seasonal weather, and partners or relatives trying products. Outdoor buyers describe ticks around homes, gardens, fields and recreation areas. These are observed settings; a universal daily lifestyle is not established.</t>
  </si>
  <si>
    <t>R27076; R28071; R15709; C184; C420; C421</t>
  </si>
  <si>
    <t>What do they see others doing and saying?</t>
  </si>
  <si>
    <t>Friends and relatives recommending tallow, older customers sharing their age, users posting compliments or skepticism, and some beauty professionals disagreeing about suitability. They also see enthusiastic repeat buyers, disappointed users and requests to see the neighbor or before-and-after images.</t>
  </si>
  <si>
    <t>C26; C136; C158; C213; C226; C336; C376</t>
  </si>
  <si>
    <t>What are they watching or reading?</t>
  </si>
  <si>
    <t>The brand’s Facebook ads and comment threads, product reviews, ingredient lists and skin advice. Several mention repeatedly seeing the founder. We cannot establish their broader media diet, favorite influencers, television habits or political news sources.</t>
  </si>
  <si>
    <t>Observed with limits</t>
  </si>
  <si>
    <t>C23; C103; C112; C306; R27076</t>
  </si>
  <si>
    <t>What have we heard them say?</t>
  </si>
  <si>
    <t>“At my age, I don’t expect to erase 50 years of life-I just want to lose the tightness and dryness, and I have with F balm!” “I never want to go back to my old 6 step routine after trying this.” “I will keep using it whether it makes me look younger or not.” These connect comfort, simplicity and realistic expectations.</t>
  </si>
  <si>
    <t>Direct customer quotations</t>
  </si>
  <si>
    <t>R28071; R15709; C472</t>
  </si>
  <si>
    <t>What can we imagine them saying?</t>
  </si>
  <si>
    <t>Composite thought, not a quotation: “I want my skin to feel comfortable and look healthy. I’m happy to try something simple, but tell me what it smells like, which one suits my face, and what happens if I don’t like it.”</t>
  </si>
  <si>
    <t>Hypothesis</t>
  </si>
  <si>
    <t>R27076; C22; C25; C164; C230</t>
  </si>
  <si>
    <t>What are they healing?</t>
  </si>
  <si>
    <t>If this prompt means skin concerns, customers report dryness, irritation, eczema and other conditions, with varied outcomes. If it means emotional recovery, repeated disappointment and reduced confidence are plausible themes. Do not assume trauma or describe the product as a treatment based on these accounts.</t>
  </si>
  <si>
    <t>Interpretation with limits</t>
  </si>
  <si>
    <t>R27076; R28071; R5739; R6401</t>
  </si>
  <si>
    <t>What do they fear and why?</t>
  </si>
  <si>
    <t>Making their skin worse, paying for another ineffective product, looking older or tired, being fooled by a seller, and being unable to obtain a refund. Some fear unwanted automatic orders. Field Balm prospects also worry about ticks and whether a product is suitable for children.</t>
  </si>
  <si>
    <t>C25; C36; C43; C65; C425; R12961</t>
  </si>
  <si>
    <t>What makes them frustrated and why?</t>
  </si>
  <si>
    <t>Trial and error without a dependable routine; being told a product will suit everyone when it does not suit them; unclear scent or variant descriptions; and difficulty reaching support. Price becomes more frustrating when the product goes unused.</t>
  </si>
  <si>
    <t>R2439; R4734; R22461; C109; C164; C235</t>
  </si>
  <si>
    <t>What makes them anxious and why?</t>
  </si>
  <si>
    <t>Uncertainty before trying a new facial product, especially after breakouts or reactions. They also worry about authenticity, recurring payments, whether the guarantee window is long enough, and whether they chose the right product.</t>
  </si>
  <si>
    <t>C22; C36; C48; C61; C90; R4243</t>
  </si>
  <si>
    <t>What do they want and why?</t>
  </si>
  <si>
    <t>Comfortable, soft, healthy-looking skin; an attractive natural appearance; fewer routine steps; and good value from a tin they actually finish. They want to feel the purchase was a sensible decision. Supporting a Canadian or values-aligned company adds meaning for a subset.</t>
  </si>
  <si>
    <t>R28071; R15709; C261; C469; C472</t>
  </si>
  <si>
    <t>What do they need and why?</t>
  </si>
  <si>
    <t>Accurate ingredient and scent information, a clear distinction between products, realistic expectations, practical application guidance and responsive support. These reduce the uncertainty visible in questions and the expectation mismatch visible in reviews.</t>
  </si>
  <si>
    <t>R14224; R4243; R2715; C22; C109; C164; C230</t>
  </si>
  <si>
    <t>What do they hope for and why?</t>
  </si>
  <si>
    <t>That this will finally be a product they can keep using, that the improvement will be visible to them or others, and that a simpler routine can be enough. Some hope to avoid procedures; many merely want the dryness and tightness to ease.</t>
  </si>
  <si>
    <t>R27076; R28071; C107; C158; C393; C472</t>
  </si>
  <si>
    <t>What thoughts or feelings may motivate their behavior and why?</t>
  </si>
  <si>
    <t>Relief, curiosity about an unusual ingredient, recognition of someone their age, trust in a recognizable maker, and validation from people with similar problems. Family recommendations and shared values can lower hesitation. Contrarian humor attracts some viewers while alienating others.</t>
  </si>
  <si>
    <t>C25; C68; C107; C155; C175; C261; C357; C44</t>
  </si>
  <si>
    <t>What lies do they believe and why?</t>
  </si>
  <si>
    <t>Treat these as beliefs to examine: all natural products are universally suitable; an unscented balm has no detectable odor; every tallow is equivalent; or a good moisturizer should replace every other skin product or procedure. Some are reinforced by category advertising. Negative experiences may be accurate, and a customer’s preference is not a lie.</t>
  </si>
  <si>
    <t>A02; A14; C36; C46; C218; R3211; R6401</t>
  </si>
  <si>
    <t>Who are they jealous of and why?</t>
  </si>
  <si>
    <t>Envy is not directly established. The selected ads invite comparison with women perceived as younger, naturally attractive or complimented. The supported aspiration is to feel similarly healthy and appreciated; do not turn that into a claim of jealousy, relationship trouble or insecurity for every buyer.</t>
  </si>
  <si>
    <t>Hypothesis with limited evidence</t>
  </si>
  <si>
    <t>A01; A09; C135; C155; C470</t>
  </si>
  <si>
    <t>What happened in the past that led them here?</t>
  </si>
  <si>
    <t>For some, years of trying skincare, procedures or remedies without comfortable skin. Others discovered tallow through family, online ads or another brand. A detailed review describes waiting for proof relevant to her own concerns before buying. No single origin story fits the whole market.</t>
  </si>
  <si>
    <t>R28071; R27076; C20; C65; C306</t>
  </si>
  <si>
    <t>What is standing in their way?</t>
  </si>
  <si>
    <t>Product fit, smell, texture, price, limited trial options, lack of trusted proof and uncertainty about seller reliability. Some cannot find the variant or have checkout trouble. These are concrete obstacles that explanatory creative and a clearer buying experience can address.</t>
  </si>
  <si>
    <t>C25; C32; C43; C90; C164; C235; R2439</t>
  </si>
  <si>
    <t>What objections or concerns will they have about the product?</t>
  </si>
  <si>
    <t>Will it smell like beef? Is unscented truly scent-free? Will it clog pores or feel greasy? What is in it besides tallow? Which balm or whip should I buy? Can I wear makeup over it? Is the company Canadian and is this listing authentic? Is it a one-time order? What does the small tin cost to try, and how does a refund work? When should I expect a change?</t>
  </si>
  <si>
    <t>C22; C25; C33; C36; C37; C43; C61; C90; C103; C164; C214</t>
  </si>
  <si>
    <t>What problems or pain points are competitors using?</t>
  </si>
  <si>
    <t>The limited current website check found dryness, fine lines, aging appearance and ingredient concerns across direct tallow competitors and Olay. VanMan emphasizes routine replacement; Toups emphasizes graceful aging and skin compatibility; Olay emphasizes visible wrinkle and firmness outcomes. These are website observations, not a completed competitor Facebook-ad or VSL audit.</t>
  </si>
  <si>
    <t>Observed external messaging</t>
  </si>
  <si>
    <t>W4; W5; W6</t>
  </si>
  <si>
    <t>How are competitors supporting their arguments?</t>
  </si>
  <si>
    <t>VanMan uses an ingredient narrative, customer reviews, sourcing and a guarantee. Toups uses tallow/skin similarity, sourcing and traditional-use narratives. Olay uses named actives, result timelines, a reported percentage result and before-and-after imagery. These describe the proof presented by competitors; their underlying substantiation was not independently audited.</t>
  </si>
  <si>
    <t>Observations on Product and Mechanism</t>
  </si>
  <si>
    <t>The strongest repeated customer language</t>
  </si>
  <si>
    <t>Across 35,152 deduplicated events, 5,737 mention softness/smoothness, 4,130 moisture/hydration and 3,231 dryness/cracking. Aging/lines/wrinkles appear in 1,811 and glow/radiance in 1,092. These overlapping lexical counts include positive, negative and neutral references and are not success rates. Read them alongside the exact quotations.</t>
  </si>
  <si>
    <t>T01; T02; T03; T08; T09; R28071; R30</t>
  </si>
  <si>
    <t>Scent is a material product experience</t>
  </si>
  <si>
    <t>Scent terms appear in 6,308 events, the largest of the defined lexical categories. They appear in 502 of the 1,282 low-rated events (39.2%). Some customers like the smell or detect very little; others cannot tolerate it. Unscented should not be interpreted as odorless. This is a product expectation issue supported by both reviews and comments.</t>
  </si>
  <si>
    <t>T04; R2439; R3211; C30; C46; C60; C240</t>
  </si>
  <si>
    <t>Texture and dose both matter</t>
  </si>
  <si>
    <t>2,384 events mention oiliness/greasiness and 2,676 mention texture/spreading terms. Some commenters report improvement after reducing the amount. Others still find it heavy despite following instructions. Demonstrate quantity and application, and acknowledge that a rich balm will not suit every face.</t>
  </si>
  <si>
    <t>T05; T06; C286; C296; R2715; R4477</t>
  </si>
  <si>
    <t>Skin compatibility is individual</t>
  </si>
  <si>
    <t>Customers report both good experiences with sensitive skin and breakouts or reactions. The acne/breakout category contains 1,028 events, including 129 low-rated events; it counts mentions rather than product-caused incidents. Avoid interpreting all questions about acne as adverse events or all positive reviews as proof of universal compatibility.</t>
  </si>
  <si>
    <t>T10; T11; R9269; R6401; R5735; C35; C100; C213</t>
  </si>
  <si>
    <t>Usefulness can outlast the anti-aging expectation</t>
  </si>
  <si>
    <t>A customer explicitly says the product does not replace Botox or help deep wrinkles but does feel moisturizing. Another will continue regardless of whether she looks younger. R28071 prioritizes relief from tightness and dryness over erasing decades. These accounts support comfort and feel as a durable purchase reason.</t>
  </si>
  <si>
    <t>C218; C472; R28071; A10</t>
  </si>
  <si>
    <t>Product differences must stay visible</t>
  </si>
  <si>
    <t>Face Whip is often discussed as a preferred facial texture, F-Balm as a richer balm, and body butter and lip balm for separate uses. Preferences conflict: some prefer the original to the whip. Do not combine all products into a single five-ingredient mechanism or apply one product’s testimonial to another.</t>
  </si>
  <si>
    <t>A16; C502; C535; R25371; R979; R167; R9472</t>
  </si>
  <si>
    <t>Field Balm addresses a separate job</t>
  </si>
  <si>
    <t>Its customers want to enjoy gardens, camping, sports and ordinary outdoor time without bites or tick anxiety. Some report strong satisfaction; others report inadequate performance, especially against mosquitoes in particular locations. Six ranked Field Balm assets lack full scripts here. Keep outdoor-use analysis separate from facial-skincare proof, and do not infer protection duration, disease prevention or child safety from testimonials.</t>
  </si>
  <si>
    <t>A11; A17–A20; A22; R1543; R1755; C347; C415; C425; C446</t>
  </si>
  <si>
    <t>S Balm and lip products need their own evidence</t>
  </si>
  <si>
    <t>S-Balm reviews include application and protection expectations, with complaints about grit and smell. Lip balm feedback includes feel and longevity as well as peppermint sensitivity. These are product-specific observations. No SPF, efficacy or safety test for those products was supplied.</t>
  </si>
  <si>
    <t>R4030; R4989; R5470; R10974; R888; R9472</t>
  </si>
  <si>
    <t>Claims that exceed the supplied evidence</t>
  </si>
  <si>
    <t>The scripts include five-day younger-looking promises, dramatic age comparisons, B12 and other vitamin claims, non-bleached superiority, and accusations about competing products. The files contain no tests that establish these. The plastic-surgeon story is indirect. One script even says “grass-fed olive oil,” a transcription/wording problem that should not be copied as a fact.</t>
  </si>
  <si>
    <t>A04; A09; A13; A14; A21; W7</t>
  </si>
  <si>
    <t>Current source inconsistencies to resolve</t>
  </si>
  <si>
    <t>The offer page describes Black Label as tallow, olive oil and beeswax; the FAQ discusses unscented balm with honey. The FAQ identifies olive oil from Tunisia and frankincense from India, so “all ingredients are Canadian” is too broad. Confirm the current variant label and distinguish Canadian manufacturing from ingredient origins.</t>
  </si>
  <si>
    <t>Observed external discrepancy</t>
  </si>
  <si>
    <t>W1; W2; A06; C332</t>
  </si>
  <si>
    <t>Guarantee and trial friction</t>
  </si>
  <si>
    <t>The current policy asks customers to contact support within 30 days of receiving the order and says a return/refund or replacement will be arranged. Customers still request samples, worry about timing and report both good and poor refund experiences. Explain the actual process and check it against operations before using “no downside” as a blanket reassurance.</t>
  </si>
  <si>
    <t>W3; C25; C61; R1263; R2501; R37852</t>
  </si>
  <si>
    <t>Observations on Avatar and Market</t>
  </si>
  <si>
    <t>The recurring emotional outcome</t>
  </si>
  <si>
    <t>The selected creative repeatedly links aging naturally with being attractive and receiving compliments. Customer testimony adds a quieter desire: skin that feels good and a routine that is no longer a battle. The combined position can recognize aging without requiring a dramatic age reversal.</t>
  </si>
  <si>
    <t>A01; A09; A15; A23; R28071; R19341; C470</t>
  </si>
  <si>
    <t>Routine fatigue and practical value</t>
  </si>
  <si>
    <t>1,231 events contain routine/simplification terms; 2,821 contain value/price/quantity terms. Detailed accounts describe leaving multi-step routines and finding that a little goes a long way. Other customers want a lower entry price or a larger container. Cost per use is a useful demonstration idea, but no measured average dose or tin duration was supplied.</t>
  </si>
  <si>
    <t>T12; T14; R15709; R7656; C152; C346; C374</t>
  </si>
  <si>
    <t>Trust needs more than a personable founder</t>
  </si>
  <si>
    <t>The founder is recognizable and some viewers respond warmly to his casual delivery. Others request photos of the neighbor, before-and-after proof, store availability or an authentic purchase link. Humor about appearance and vegetarianism also creates off-topic discussion. Comments show attention, not necessarily purchase intent.</t>
  </si>
  <si>
    <t>C24; C26; C65; C68; C73; C74; C90; C111; C155</t>
  </si>
  <si>
    <t>Values generate both affinity and rejection</t>
  </si>
  <si>
    <t>Customers explicitly praise Canadian support, Christian identity and the brand’s stated principles. Other commenters reject the political framing. The founder himself acknowledges losing customers. Treat values as a segment-specific attraction and exclusion, not a universal persuasion device or a measured cause of higher retention.</t>
  </si>
  <si>
    <t>A12; C44; C69; C106; C261; C269; C357–C366; C452</t>
  </si>
  <si>
    <t>Family and repeat use are real themes</t>
  </si>
  <si>
    <t>2,559 events contain family/sharing terms and 1,474 repurchase-related terms. These are not verified referral or retention rates. The customer-call transcript describes three household users and a sister-in-law; comments include gifting and follow-on purchases.</t>
  </si>
  <si>
    <t>T13; T23; A16; R14056; C134; C185; C404</t>
  </si>
  <si>
    <t>What the top-ad collection repeatedly does</t>
  </si>
  <si>
    <t>The 21 full scripts fall into five primary families: appearance and natural-aging stories (9), origin/legitimacy/process (4), ingredients/value (3), identity/values (3), and customer calls (2). Several are variants of the same neighbor, parking-lot or water-price concept. Repetition supports a creative pattern, not 21 independent tests of persuasion.</t>
  </si>
  <si>
    <t>Analyst classification</t>
  </si>
  <si>
    <t>Ad audit; A01–A30; M3</t>
  </si>
  <si>
    <t>A likely sequence for future messaging</t>
  </si>
  <si>
    <t>Lead with a recognizable skin concern or human story. Show a credible customer describing a specific change. Explain the balm and show the amount used. Resolve scent, product choice and trust questions, then explain the offer. This sequence combines the strongest available observations; its effect on conversion still needs testing.</t>
  </si>
  <si>
    <t>Recommendation</t>
  </si>
  <si>
    <t>A03; A05; A06; A10; R28071; C25; C296</t>
  </si>
  <si>
    <t>Observations on Competition</t>
  </si>
  <si>
    <t>Direct tallow competitors</t>
  </si>
  <si>
    <t>VanMan and Toups show that natural tallow, sourcing, ingredient simplicity and graceful-aging narratives are established category language. A claim of uniqueness based only on those ingredients will be easy to match. Our distinct founder and operational evidence are more specific assets to develop.</t>
  </si>
  <si>
    <t>W4; W5; A03; A05</t>
  </si>
  <si>
    <t>Conventional skincare competition</t>
  </si>
  <si>
    <t>Olay’s checked page targets dryness, sagging and wrinkles. It supports the pitch with named ingredients, timed claims and before-and-after imagery. This identifies the standard of visible specificity shoppers may compare against. It does not prove Olay was the unnamed cream in the supplied ads.</t>
  </si>
  <si>
    <t>W6; A08; A24</t>
  </si>
  <si>
    <t>DIY and substitute competition</t>
  </si>
  <si>
    <t>The supplied comments mention homemade tallow, other local makers, castor oil and cheaper listings. For these shoppers, the question is why to buy this formulation and service rather than an available substitute. Show what is in the tin and why the buyer might prefer its use experience; do not assert that alternatives are fake without evidence.</t>
  </si>
  <si>
    <t>C14; C23; C57; C88; C110; C126; C252; C318</t>
  </si>
  <si>
    <t>The clearest articulation opportunity</t>
  </si>
  <si>
    <t>A useful message combines comfortable skin and graceful aging with unusually clear purchase information: exact variant ingredients, what the scent is like, how much to use, who prefers the texture and how to reach support. This responds to our own customers’ unanswered questions. It is a proposed opportunity, not proof that no competitor addresses it.</t>
  </si>
  <si>
    <t>C22; C25; C36; C43; C109; C164; C230; W4; W5</t>
  </si>
  <si>
    <t>Competitor claims we should not inherit</t>
  </si>
  <si>
    <t>Water percentages in the supplied comparison ads came from a ChatGPT answer, not a formulation analysis. Water appearing first in a list does not establish an exact percentage or product inferiority. Tallow similarity, ancestral use, vitamins and a money-back guarantee likewise do not establish universal results. Compete on demonstrated facts and customer relevance.</t>
  </si>
  <si>
    <t>Evidence assessment</t>
  </si>
  <si>
    <t>A08; A14; A24; W7</t>
  </si>
  <si>
    <t>Remaining competition gaps</t>
  </si>
  <si>
    <t>This is a limited current check of three brand product pages plus substitutes named in our own comments. Competitor ad libraries, VSLs, full funnels, historical offers, independent reviews and social follower totals were not comprehensively audited. No ranking of competitor performance can be made from this material.</t>
  </si>
  <si>
    <t>W4; W5; W6; M4</t>
  </si>
  <si>
    <t>Review language and product coverage</t>
  </si>
  <si>
    <t>Review events</t>
  </si>
  <si>
    <t>1–2 stars</t>
  </si>
  <si>
    <t>Stricter n</t>
  </si>
  <si>
    <t>Comments</t>
  </si>
  <si>
    <t>Mention counts include all sentiments. Themes overlap. See Source coverage for rules and limits.</t>
  </si>
  <si>
    <t>Theme</t>
  </si>
  <si>
    <t>Event mentions</t>
  </si>
  <si>
    <t>Event share</t>
  </si>
  <si>
    <t>1–2 star mentions</t>
  </si>
  <si>
    <t>Share of 1–2 stars</t>
  </si>
  <si>
    <t>Stricter groups</t>
  </si>
  <si>
    <t>Stricter share</t>
  </si>
  <si>
    <t>FB mentions</t>
  </si>
  <si>
    <t>Raw mentions</t>
  </si>
  <si>
    <t>Soft or smooth skin</t>
  </si>
  <si>
    <t>Moisture or hydration</t>
  </si>
  <si>
    <t>Dryness or cracking</t>
  </si>
  <si>
    <t>Scent or smell</t>
  </si>
  <si>
    <t>Oiliness or greasiness</t>
  </si>
  <si>
    <t>Texture or spreading</t>
  </si>
  <si>
    <t>Natural or ingredient preference</t>
  </si>
  <si>
    <t>Aging lines or wrinkles</t>
  </si>
  <si>
    <t>Glow or radiance</t>
  </si>
  <si>
    <t>Sensitivity or skin conditions</t>
  </si>
  <si>
    <t>Acne or breakouts</t>
  </si>
  <si>
    <t>Value price or quantity</t>
  </si>
  <si>
    <t>Repurchase language</t>
  </si>
  <si>
    <t>Routine simplification</t>
  </si>
  <si>
    <t>Canadian or local affinity</t>
  </si>
  <si>
    <t>Delivery service or order</t>
  </si>
  <si>
    <t>Botox or procedures</t>
  </si>
  <si>
    <t>Bugs ticks or outdoor use</t>
  </si>
  <si>
    <t>Sun care</t>
  </si>
  <si>
    <t>Values or faith</t>
  </si>
  <si>
    <t>Skepticism or legitimacy</t>
  </si>
  <si>
    <t>No results language</t>
  </si>
  <si>
    <t>Family or sharing</t>
  </si>
  <si>
    <t>Ratings after deduplication</t>
  </si>
  <si>
    <t>Rating</t>
  </si>
  <si>
    <t>Events</t>
  </si>
  <si>
    <t>Share</t>
  </si>
  <si>
    <t>Raw product labels</t>
  </si>
  <si>
    <t>Counts below use the original export. Shared and mismatched reviews prevent clean product comparisons.</t>
  </si>
  <si>
    <t>Original product handle</t>
  </si>
  <si>
    <t>Raw entries</t>
  </si>
  <si>
    <t>Mean rating</t>
  </si>
  <si>
    <t>1–2 star entries</t>
  </si>
  <si>
    <t>f-balm</t>
  </si>
  <si>
    <t>the-freedom-face-whip-summer-scent-60-ml</t>
  </si>
  <si>
    <t>f-balm-whipped-body-butter-3-75-oz</t>
  </si>
  <si>
    <t>freedom-field-balm</t>
  </si>
  <si>
    <t>s-balm-tallow-and-zinc-sun-lotion</t>
  </si>
  <si>
    <t>f-balm-black-label-unscented</t>
  </si>
  <si>
    <t>Unassigned</t>
  </si>
  <si>
    <t>f-balmer-tallow-lip-balm-half-oz</t>
  </si>
  <si>
    <t>f-balm-bundle</t>
  </si>
  <si>
    <t>bee-free-vanilla-body-butter</t>
  </si>
  <si>
    <t>the-freedom-face-whip-unscented-60-ml</t>
  </si>
  <si>
    <t>shipping-insurance</t>
  </si>
  <si>
    <t>f-balmer-tallow-lip-balm-half-oz-sca_clone_freegift</t>
  </si>
  <si>
    <t>f-balm-offer-page</t>
  </si>
  <si>
    <t>bulk-body-butter-f-balm-combo-4-4</t>
  </si>
  <si>
    <t>f-balm-freedom-convoy-special-edition-premium-tallow-balm</t>
  </si>
  <si>
    <t>the-tallowed-truth-bar-3-pack-unscented</t>
  </si>
  <si>
    <t>f-balm-premium-tallow-balm-offer-framing</t>
  </si>
  <si>
    <t>f-balm-offer-buy-1-get-1-for-usa</t>
  </si>
  <si>
    <t>mixed-f-balm-bulk-order-5-5</t>
  </si>
  <si>
    <t>f-balm-offer-page-b</t>
  </si>
  <si>
    <t>tt-summer-bundle</t>
  </si>
  <si>
    <t>tallowed-truth-starter-pack</t>
  </si>
  <si>
    <t>bulk-body-butter-10-pack</t>
  </si>
  <si>
    <t>lip-balm-bulk-order-f-balmer-15ml-20-pack</t>
  </si>
  <si>
    <t>freedom-bundle</t>
  </si>
  <si>
    <t>freedom-field-balm-free-gift-100-off-sca_clone_freegift</t>
  </si>
  <si>
    <t>f-balm-bulk-order-pricing</t>
  </si>
  <si>
    <t>freedom-face-whip-winter-scent-60-ml</t>
  </si>
  <si>
    <t>citrus-soap-bar-single</t>
  </si>
  <si>
    <t>the-freedom-starter-pack</t>
  </si>
  <si>
    <t>f-balm-orange-vanilla-premium-tallow-balm</t>
  </si>
  <si>
    <t>f-balm-offer-page-4</t>
  </si>
  <si>
    <t>fringe-trucker-hats-✊</t>
  </si>
  <si>
    <t>f-balm-premium-anti-aging-tallow-balm-2-oz-9</t>
  </si>
  <si>
    <t>f-balm-premium-anti-aging-tallow-balm-2-oz-5</t>
  </si>
  <si>
    <t>f-balm-premium-anti-aging-tallow-balm-2-oz-10</t>
  </si>
  <si>
    <t>f-balm-premium-anti-aging-tallow-balm-2-oz-8</t>
  </si>
  <si>
    <t>f-balm-anti-aging-tallow-balm-2-packs</t>
  </si>
  <si>
    <t>f-balm-lavender-premium-tallow-balm</t>
  </si>
  <si>
    <t>f-balm-offer-page-1</t>
  </si>
  <si>
    <t>shipping-protection</t>
  </si>
  <si>
    <t>3-year-anniversary-bundle</t>
  </si>
  <si>
    <t>calm-balm-magnesium-tallow-balm-2oz</t>
  </si>
  <si>
    <t>f-balm-unscented-bulk-order-pack-of-10-tins</t>
  </si>
  <si>
    <t>f-balm-bulk-pricing-20-tins</t>
  </si>
  <si>
    <t>f-balmer-single-1-premium-peppermint-tallow-lip-balm-15-ml</t>
  </si>
  <si>
    <t>the-tallowed-truth-trucker-snapback</t>
  </si>
  <si>
    <t>lip-balm-single</t>
  </si>
  <si>
    <t>f-balm-premium-anti-aging-tallow-balm-2-oz-4</t>
  </si>
  <si>
    <t>the-tallowed-truth-gift-card</t>
  </si>
  <si>
    <t>f-balm-premium-anti-aging-tallow-balm-2-oz-2</t>
  </si>
  <si>
    <t>tallowed-truth-starter-pack-copy</t>
  </si>
  <si>
    <t>bulk-body-butter-10-pack-1</t>
  </si>
  <si>
    <t>tallowed-truth-snap-back</t>
  </si>
  <si>
    <t>f-balm-premium-anti-aging-tallow-balm-2-oz-3</t>
  </si>
  <si>
    <t>f-balm-premium-anti-aging-tallow-balm-2-oz-7</t>
  </si>
  <si>
    <t>tallowed-truth-super-bundle-copy</t>
  </si>
  <si>
    <t>tallowed-truth-super-bundle</t>
  </si>
  <si>
    <t>f-balm-series-sample-pack-weekend-special</t>
  </si>
  <si>
    <t>f-balm-offer-page-2</t>
  </si>
  <si>
    <t>f-balm-offer-page-3</t>
  </si>
  <si>
    <t>freedom-field-balm-1</t>
  </si>
  <si>
    <t>freedom-field-balm-3</t>
  </si>
  <si>
    <t>All 30 ranked ad assets</t>
  </si>
  <si>
    <t>21 full scripts. Nine assets have titles/post mapping only. Rank is supplied; performance data is absent.</t>
  </si>
  <si>
    <t>Rank</t>
  </si>
  <si>
    <t>Ad and coverage</t>
  </si>
  <si>
    <t>Creative analysis</t>
  </si>
  <si>
    <t>Evidence locator</t>
  </si>
  <si>
    <t>Facebook post</t>
  </si>
  <si>
    <t>Attractive neighbor — part 2
Full script supplied
Appearance and natural aging</t>
  </si>
  <si>
    <t>Neighbor story adds social proof and a brand-switch claim.
Proof presented: Competitor-to-F-Balm switch; founder; review volume; refund promise.
Implication: The opening attractiveness belongs to a prior tallow user; do not attribute it wholly to F-Balm. Show the actual person or evidence.</t>
  </si>
  <si>
    <t>DOCX paragraphs 4–4
C26; C71; C73; C173</t>
  </si>
  <si>
    <t>https://www.facebook.com/590106480853626/posts/122166797960797195</t>
  </si>
  <si>
    <t>Weird Botox hack / hot 50-year-old neighbor
Full script supplied
Appearance and natural aging</t>
  </si>
  <si>
    <t>Attractive older neighbor and leaving expensive skincare/Botox.
Proof presented: Founder-retold story, reported broad female adoption, refund promise.
Implication: Replacement framing outruns the available evidence; C218 explicitly distinguishes moisturizing from Botox.</t>
  </si>
  <si>
    <t>DOCX paragraphs 42–42
C212; C215; C218</t>
  </si>
  <si>
    <t>https://www.facebook.com/590106480853626/posts/122164366508797195</t>
  </si>
  <si>
    <t>Made here, not in China
Full script supplied
Origin and legitimacy</t>
  </si>
  <si>
    <t>A real Canadian operation counters fear of unknown imported sellers.
Proof presented: Described headquarters, product stock, packing and founder identity.
Implication: Script-level operational proof only; current origin documents would strengthen it. Same post as rank 26.</t>
  </si>
  <si>
    <t>DOCX paragraphs 81–81
C269; C272</t>
  </si>
  <si>
    <t>https://www.facebook.com/590106480853626/posts/122126457716797195</t>
  </si>
  <si>
    <t>Look younger in five days
Full script supplied
Appearance and natural aging</t>
  </si>
  <si>
    <t>Rapid younger-looking results in five days.
Proof presented: Reviews, triple purification and refund promise.
Implication: No timed trial supplied. Customers praise feel and describe variable texture; avoid a universal deadline.</t>
  </si>
  <si>
    <t>DOCX paragraphs 119–119
C282; C286</t>
  </si>
  <si>
    <t>https://www.facebook.com/111976065171748/posts/720606164314390</t>
  </si>
  <si>
    <t>Approached by a skeptic in a parking lot
Full script supplied
Origin and legitimacy</t>
  </si>
  <si>
    <t>Recognized founder reassures a hesitant shopper in a parking lot.
Proof presented: Product trial, facility and shipping assertions, reviews and guarantee.
Implication: Useful for product-aware skepticism; exact shipping and refund experience need current support. Variant of rank 29.</t>
  </si>
  <si>
    <t>DOCX paragraphs 165–165
C293; C296</t>
  </si>
  <si>
    <t>https://www.facebook.com/590106480853626/posts/122174606642797195</t>
  </si>
  <si>
    <t>Made in Canada ingredient proof
Full script supplied
Ingredients and value</t>
  </si>
  <si>
    <t>Canadian origin, a small dose, texture and makeup glow.
Proof presented: Ingredient recital and application/sensory description.
Implication: Clarify origin of each ingredient; do not generalize all ingredients as Canadian.</t>
  </si>
  <si>
    <t>DOCX paragraphs 207–207
C299; C300; C306</t>
  </si>
  <si>
    <t>https://www.facebook.com/111976065171748/posts/778514201856919</t>
  </si>
  <si>
    <t>Canadian business / government accountability
Full script supplied
Identity and values</t>
  </si>
  <si>
    <t>Support a Canadian business through government criticism.
Proof presented: Founder’s experience and asserted Canadian sourcing/jobs.
Implication: Affinity creative; comments indicate support, not incremental sales or universal agreement.</t>
  </si>
  <si>
    <t>DOCX paragraphs 245–245
C308; C313</t>
  </si>
  <si>
    <t>https://www.facebook.com/111976065171748/posts/724996837208656</t>
  </si>
  <si>
    <t>$57 face cream is mostly water
Full script supplied
Ingredients and value</t>
  </si>
  <si>
    <t>An expensive cream contains water while F-Balm sells concentrated ingredients.
Proof presented: Purchased jar, ingredient-label comparison, reviews and guarantee.
Implication: Water percentage is attributed to ChatGPT, not measured. Exact competitor is unnamed. Variant of rank 24.</t>
  </si>
  <si>
    <t>DOCX paragraphs 281–281
C318; C319; C321</t>
  </si>
  <si>
    <t>https://www.facebook.com/590106480853626/posts/122147356676797195</t>
  </si>
  <si>
    <t>69 and people say she looks 50
Full script supplied
Appearance and natural aging</t>
  </si>
  <si>
    <t>Customers report looking younger and receiving compliments.
Proof presented: Age anecdotes, review totals, ingredients and facility story.
Implication: Script corrects its five-star claim to total reviews. Preserve that distinction and avoid guarantees of looking 19 years younger.</t>
  </si>
  <si>
    <t>DOCX paragraphs 319–319
C329; C334; C336</t>
  </si>
  <si>
    <t>https://www.facebook.com/590106480853626/posts/122173356584797195</t>
  </si>
  <si>
    <t>Customer phone call — natural glow
Full script supplied
Customer calls</t>
  </si>
  <si>
    <t>Repeat customer values softness, feel and natural glow.
Proof presented: Direct call transcript and described repeat buying.
Implication: Strong fit with review language. Customer hedges the age claim; founder offers free product during call.</t>
  </si>
  <si>
    <t>DOCX paragraphs 362–381
C343; C346</t>
  </si>
  <si>
    <t>https://www.facebook.com/590106480853626/posts/122177184620797195</t>
  </si>
  <si>
    <t>Tick turns away from Field Balm
Full script not supplied
Outdoor use</t>
  </si>
  <si>
    <t>Title suggests a tick-turning-away demonstration.
Proof presented: Title and ten captured comments only.
Implication: Full script/footage absent; no protection duration or safety conclusion can be drawn.</t>
  </si>
  <si>
    <t>Not supplied
C347; C348; C355</t>
  </si>
  <si>
    <t>https://www.facebook.com/1123436837527041/posts/122119299939354619</t>
  </si>
  <si>
    <t>“Stop being political” brand values
Full script supplied
Identity and values</t>
  </si>
  <si>
    <t>Founder explains refusal to remove politics and faith from brand.
Proof presented: Personal origin story and explicit acceptance of lost customers.
Implication: Segment-specific appeal; retain evidence of rejection as well as supportive comments.</t>
  </si>
  <si>
    <t>DOCX paragraphs 418–418
C357; C361; C44</t>
  </si>
  <si>
    <t>https://www.facebook.com/590106480853626/posts/122166797996797195</t>
  </si>
  <si>
    <t>Plastic surgeon compliment
Full script supplied
Appearance and natural aging</t>
  </si>
  <si>
    <t>An older customer reportedly receives a plastic-surgeon compliment.
Proof presented: Founder retells customer email and surgeon conversation.
Implication: Indirect, unnamed authority. No direct surgeon endorsement or clinical assessment supplied.</t>
  </si>
  <si>
    <t>DOCX paragraphs 455–455
C370; C374; C376</t>
  </si>
  <si>
    <t>https://www.facebook.com/590106480853626/posts/122168904230797195</t>
  </si>
  <si>
    <t>The tallow industry is corrupt
Full script supplied
Origin and legitimacy</t>
  </si>
  <si>
    <t>Industry-corruption framing makes sourcing and process salient.
Proof presented: Vitamin/skin-similarity narrative, production location, reviews, 30-day guarantee.
Implication: Unnamed report and broad competitor accusations are unverified; no vitamin assay or comparative efficacy evidence.</t>
  </si>
  <si>
    <t>DOCX paragraphs 491–491
C377; C378; C385</t>
  </si>
  <si>
    <t>https://www.facebook.com/111976065171748/posts/876648245376847</t>
  </si>
  <si>
    <t>Natural aging versus obvious Botox
Full script supplied
Appearance and natural aging</t>
  </si>
  <si>
    <t>Founder contrasts natural aging with a visibly altered appearance.
Proof presented: Personal encounter, mother example, reviews and in-house production.
Implication: Respect customers’ choices; natural-aging appeal does not prove substitution for procedures.</t>
  </si>
  <si>
    <t>DOCX paragraphs 534–534
C393; C396</t>
  </si>
  <si>
    <t>https://www.facebook.com/590106480853626/posts/122173356476797195</t>
  </si>
  <si>
    <t>Customer phone call — household of three
Full script supplied
Customer calls</t>
  </si>
  <si>
    <t>Household of three shares products and prefers Face Whip.
Proof presented: Customer’s usage history, product preferences and family sharing.
Implication: Useful evidence of cross-sell and fit. Transcript grants clip-sharing permission; free product offered.</t>
  </si>
  <si>
    <t>DOCX paragraphs 569–596
C403; C404; C406</t>
  </si>
  <si>
    <t>https://www.facebook.com/590106480853626/posts/122174604302797195</t>
  </si>
  <si>
    <t>Got my first tick
Full script not supplied
Outdoor use</t>
  </si>
  <si>
    <t>Title suggests personal experience of finding a tick.
Proof presented: Title and ten captured comments only.
Implication: Full script absent. Comments span F-Balm, Field Balm and shipping; do not treat all as Field Balm results.</t>
  </si>
  <si>
    <t>Not supplied
C408; C409; C415</t>
  </si>
  <si>
    <t>https://www.facebook.com/590106480853626/posts/122176920680797195</t>
  </si>
  <si>
    <t>The ticks are out of control
Full script not supplied
Outdoor use</t>
  </si>
  <si>
    <t>Title suggests increased tick concern.
Proof presented: Title and comments on local encounters.
Implication: No population trend or child-safety claim is established by these comments.</t>
  </si>
  <si>
    <t>Not supplied
C420; C421; C425</t>
  </si>
  <si>
    <t>https://www.facebook.com/111976065171748/posts/948202801554724</t>
  </si>
  <si>
    <t>Ditch toxic bug spray
Full script not supplied
Outdoor use</t>
  </si>
  <si>
    <t>Title positions Field Balm against conventional bug spray.
Proof presented: Title and customer experience comments.
Implication: Full copy absent; do not adopt “toxic” or protection claims from the title as established facts.</t>
  </si>
  <si>
    <t>Not supplied
C428; C429; C433</t>
  </si>
  <si>
    <t>https://www.facebook.com/590106480853626/posts/122179884734797195</t>
  </si>
  <si>
    <t>Best bug spray?
Full script not supplied
Outdoor use</t>
  </si>
  <si>
    <t>Title asks for the best bug spray.
Proof presented: Title plus positive and negative user comparisons.
Implication: C446 reports poor mosquito performance. No basis for a best-in-category assertion.</t>
  </si>
  <si>
    <t>Not supplied
C440; C442; C446</t>
  </si>
  <si>
    <t>https://www.facebook.com/590106480853626/posts/122179884458797195</t>
  </si>
  <si>
    <t>Jesus figurine in an order
Full script supplied
Identity and values</t>
  </si>
  <si>
    <t>A marketer describes the founder’s blunt values and Jesus figurines.
Proof presented: Third-party narrator, described review screenshot, ingredients, reviews and guarantee.
Implication: Affiliated narrator is not independent PR. “Grass-fed olive oil” is erroneous wording in the transcript.</t>
  </si>
  <si>
    <t>DOCX paragraphs 636–636
C452; C454</t>
  </si>
  <si>
    <t>https://www.facebook.com/736801179511242/posts/122161905500943805</t>
  </si>
  <si>
    <t>What is the deal with the ticks?
Full script not supplied
Outdoor use</t>
  </si>
  <si>
    <t>Title raises tick concern.
Proof presented: Title and comments about encounters and avoidance.
Implication: No script. Conspiracy comments are audience statements, not an explanation of tick activity.</t>
  </si>
  <si>
    <t>Not supplied
C459; C463; C466</t>
  </si>
  <si>
    <t>https://www.facebook.com/111976065171748/posts/948202794888058</t>
  </si>
  <si>
    <t>Botox in the Caribbean
Full script supplied
Appearance and natural aging</t>
  </si>
  <si>
    <t>Family/mother story supports choosing natural aging.
Proof presented: Personal observation, family history and review volume.
Implication: Audience response supports dignity and feel; avoid turning a lifestyle preference into universal superiority.</t>
  </si>
  <si>
    <t>DOCX paragraphs 676–676
C469; C470; C472</t>
  </si>
  <si>
    <t>https://www.facebook.com/111976065171748/posts/955083644199973</t>
  </si>
  <si>
    <t>Water is free; beef tallow is not
Full script supplied
Ingredients and value</t>
  </si>
  <si>
    <t>Price and amount comparison against a water-based cream.
Proof presented: Container comparison, water estimate, review count and guarantee.
Implication: Percentage comes from ChatGPT. Script conflates ounces/grams with current volume labeling; verify units before price comparisons.</t>
  </si>
  <si>
    <t>DOCX paragraphs 717–717
C483; C486</t>
  </si>
  <si>
    <t>https://www.facebook.com/590106480853626/posts/122147356718797195</t>
  </si>
  <si>
    <t>63-year-old Filipino customer proof
Full script not supplied
Appearance title only</t>
  </si>
  <si>
    <t>Title identifies a 63-year-old Filipino customer.
Proof presented: Title and ten comments only.
Implication: Full script is absent. A commenter’s age/ethnicity cannot substitute for the featured customer’s story.</t>
  </si>
  <si>
    <t>Not supplied
C490; C493</t>
  </si>
  <si>
    <t>https://www.facebook.com/590106480853626/posts/122175509576797195</t>
  </si>
  <si>
    <t>Legacy asset — associated Facebook post
Full script not supplied
Duplicate post mapping</t>
  </si>
  <si>
    <t>Legacy asset maps to rank 3’s Facebook post.
Proof presented: Shared post identifier.
Implication: No separate creative is supplied. Count its ten comments once under the shared post.</t>
  </si>
  <si>
    <t>Not supplied
C267–C276</t>
  </si>
  <si>
    <t>I made too much — buy one, get one free
Full script not supplied
Offer title only</t>
  </si>
  <si>
    <t>Title advertises overproduction and buy one get one free.
Proof presented: Title and comments about the offer/product use.
Implication: Full script absent; offer validity and urgency are not established.</t>
  </si>
  <si>
    <t>Not supplied
C502; C504; C506</t>
  </si>
  <si>
    <t>https://www.facebook.com/111976065171748/posts/3092405700957420</t>
  </si>
  <si>
    <t>Neighbor says tallow made her look younger
Full script supplied
Appearance and natural aging</t>
  </si>
  <si>
    <t>Neighbor story with a stronger ten-years-younger opening.
Proof presented: Same core narrative as rank 1, brand switch and refund.
Implication: Near-duplicate concept, not independent customer proof. Ending is truncated in the supplied transcript.</t>
  </si>
  <si>
    <t>DOCX paragraphs 754–754
C510; C514; C515</t>
  </si>
  <si>
    <t>https://www.facebook.com/590106480853626/posts/122175509396797195</t>
  </si>
  <si>
    <t>Lady didn’t know if we were legit
Full script supplied
Origin and legitimacy</t>
  </si>
  <si>
    <t>Parking-lot shopper reassured about a real online company.
Proof presented: Founder access, trial, operations, reviews and refund.
Implication: Variant of rank 5; broad scar/eczema outcomes and imported-product accusations need separate substantiation.</t>
  </si>
  <si>
    <t>DOCX paragraphs 793–793
C521; C526</t>
  </si>
  <si>
    <t>https://www.facebook.com/590106480853626/posts/122174606636797195</t>
  </si>
  <si>
    <t>My hot 50-year-old neighbor does this
Full script supplied
Appearance and natural aging</t>
  </si>
  <si>
    <t>Neighbor leaves expensive skincare and Botox for tallow.
Proof presented: Retold story, women’s adoption, makeup reduction and guarantee.
Implication: Variant of rank 2. Tallow use predates encounter with the founder; distinguish category from brand effects.</t>
  </si>
  <si>
    <t>DOCX paragraphs 838–838
C533; C535; C536</t>
  </si>
  <si>
    <t>https://www.facebook.com/590106480853626/posts/122164366604797195</t>
  </si>
  <si>
    <t>Verbatim customer evidence</t>
  </si>
  <si>
    <t>Excerpts preserve the original wording. These are reported experiences, not verified causal effects.</t>
  </si>
  <si>
    <t>Source key</t>
  </si>
  <si>
    <t>Verbatim excerpt</t>
  </si>
  <si>
    <t>Stars</t>
  </si>
  <si>
    <t>Original product or ad label</t>
  </si>
  <si>
    <t>Source cell</t>
  </si>
  <si>
    <t>Comment link</t>
  </si>
  <si>
    <t>R28071</t>
  </si>
  <si>
    <t>Realistic desired outcome</t>
  </si>
  <si>
    <t>At my age, I don’t expect to erase 50 years of life-I just want to lose the tightness and dryness, and I have with F balm!</t>
  </si>
  <si>
    <t>ALL REVIEWS.xlsx / thetallowedtruth-all-published- / B28071</t>
  </si>
  <si>
    <t>R15709</t>
  </si>
  <si>
    <t>I never want to go back to my old 6 step routine after trying this.</t>
  </si>
  <si>
    <t>ALL REVIEWS.xlsx / thetallowedtruth-all-published- / B15709</t>
  </si>
  <si>
    <t>R27076</t>
  </si>
  <si>
    <t>Proof before trial</t>
  </si>
  <si>
    <t>Then I had seen the “REVIEWS” that I was waiting for.</t>
  </si>
  <si>
    <t>ALL REVIEWS.xlsx / thetallowedtruth-all-published- / B27076</t>
  </si>
  <si>
    <t>R30</t>
  </si>
  <si>
    <t>Moisture and social payoff</t>
  </si>
  <si>
    <t>I now get compliments on my skin, people thinking I use expensive higher end list of facial products...but nope Beef Tallow, and not just any the Tallowed Truth beef tallow Canadian made company.</t>
  </si>
  <si>
    <t>ALL REVIEWS.xlsx / thetallowedtruth-all-published- / B30</t>
  </si>
  <si>
    <t>R23</t>
  </si>
  <si>
    <t>Reported early change</t>
  </si>
  <si>
    <t>Just started using 3 days ago and I see a difference already.  Lines look softer and my skin feels amazing!</t>
  </si>
  <si>
    <t>ALL REVIEWS.xlsx / thetallowedtruth-all-published- / B23</t>
  </si>
  <si>
    <t>R8398</t>
  </si>
  <si>
    <t>Skepticism followed by satisfaction</t>
  </si>
  <si>
    <t>I’ll admit I was skeptical at first about using tallow as a replacement for products I’ve relied on for years.</t>
  </si>
  <si>
    <t>ALL REVIEWS.xlsx / thetallowedtruth-all-published- / B8398</t>
  </si>
  <si>
    <t>R14224</t>
  </si>
  <si>
    <t>Application guidance helps</t>
  </si>
  <si>
    <t>I was also super grateful I received a follow up email after my order arrived to explain the correct way to use it.</t>
  </si>
  <si>
    <t>ALL REVIEWS.xlsx / thetallowedtruth-all-published- / B14224</t>
  </si>
  <si>
    <t>R19341</t>
  </si>
  <si>
    <t>Natural aging identity</t>
  </si>
  <si>
    <t>Thank you for NOT using ‘anti aging’ in your narrative.</t>
  </si>
  <si>
    <t>ALL REVIEWS.xlsx / thetallowedtruth-all-published- / B19341</t>
  </si>
  <si>
    <t>R8805</t>
  </si>
  <si>
    <t>Male user and simpler routine</t>
  </si>
  <si>
    <t>I’ve replaced a few different products with this one, and no looking back!</t>
  </si>
  <si>
    <t>ALL REVIEWS.xlsx / thetallowedtruth-all-published- / B8805</t>
  </si>
  <si>
    <t>R14056</t>
  </si>
  <si>
    <t>Household and repeat buying</t>
  </si>
  <si>
    <t>Both my husband and I love this tallow.</t>
  </si>
  <si>
    <t>ALL REVIEWS.xlsx / thetallowedtruth-all-published- / B14056</t>
  </si>
  <si>
    <t>R2439</t>
  </si>
  <si>
    <t>Scent barrier</t>
  </si>
  <si>
    <t>I really dislike the smell and since it is on my face it is impossible to ignore.</t>
  </si>
  <si>
    <t>ALL REVIEWS.xlsx / thetallowedtruth-all-published- / B2439</t>
  </si>
  <si>
    <t>R2715</t>
  </si>
  <si>
    <t>Heavy despite following directions</t>
  </si>
  <si>
    <t>I have put it on a damp face and use just a little, but in the morning it still feels heavy.</t>
  </si>
  <si>
    <t>ALL REVIEWS.xlsx / thetallowedtruth-all-published- / B2715</t>
  </si>
  <si>
    <t>R5479</t>
  </si>
  <si>
    <t>Makeup incompatibility</t>
  </si>
  <si>
    <t>Do not recommend wearing under makeup.</t>
  </si>
  <si>
    <t>ALL REVIEWS.xlsx / thetallowedtruth-all-published- / B5479</t>
  </si>
  <si>
    <t>R5735</t>
  </si>
  <si>
    <t>Reported reaction</t>
  </si>
  <si>
    <t>Unfortunately, this product caused my face, mostly near my eyes and upper cheeks, to swell up after a few days of use.</t>
  </si>
  <si>
    <t>ALL REVIEWS.xlsx / thetallowedtruth-all-published- / B5735</t>
  </si>
  <si>
    <t>R3212</t>
  </si>
  <si>
    <t>No benefit and breakouts</t>
  </si>
  <si>
    <t>I have seen more bumps and adult acne though.</t>
  </si>
  <si>
    <t>ALL REVIEWS.xlsx / thetallowedtruth-all-published- / B3212</t>
  </si>
  <si>
    <t>R6401</t>
  </si>
  <si>
    <t>Face unsuitable for this customer</t>
  </si>
  <si>
    <t>I cannot use it on my face.</t>
  </si>
  <si>
    <t>ALL REVIEWS.xlsx / thetallowedtruth-all-published- / B6401</t>
  </si>
  <si>
    <t>R9269</t>
  </si>
  <si>
    <t>Positive compatibility report</t>
  </si>
  <si>
    <t>I was worried at first it was too greasy and would cause my sensitive skin to break out in either a rash or zits. But neither happened.</t>
  </si>
  <si>
    <t>ALL REVIEWS.xlsx / thetallowedtruth-all-published- / B9269</t>
  </si>
  <si>
    <t>R4243</t>
  </si>
  <si>
    <t>Ingredient disclosure</t>
  </si>
  <si>
    <t>Please advertise your product as Tallow with Olive Oil given it is the 2nd ingredient.</t>
  </si>
  <si>
    <t>ALL REVIEWS.xlsx / thetallowedtruth-all-published- / B4243</t>
  </si>
  <si>
    <t>R2501</t>
  </si>
  <si>
    <t>Refund-service complaint</t>
  </si>
  <si>
    <t>Attempted to contact customer service multiple times for a refund and received absolutely no response.</t>
  </si>
  <si>
    <t>ALL REVIEWS.xlsx / thetallowedtruth-all-published- / B2501</t>
  </si>
  <si>
    <t>R1263</t>
  </si>
  <si>
    <t>Positive refund experience</t>
  </si>
  <si>
    <t>Full refund was given of an item and I didn’t even have to return the product!!</t>
  </si>
  <si>
    <t>ALL REVIEWS.xlsx / thetallowedtruth-all-published- / B1263</t>
  </si>
  <si>
    <t>R12961</t>
  </si>
  <si>
    <t>Recurring order complaint</t>
  </si>
  <si>
    <t>I have never ever put in to re-order this product but you keep sending it to me and charging me $171 on my Visa each time</t>
  </si>
  <si>
    <t>ALL REVIEWS.xlsx / thetallowedtruth-all-published- / B12961</t>
  </si>
  <si>
    <t>R3211</t>
  </si>
  <si>
    <t>Unscented expectation</t>
  </si>
  <si>
    <t>Maybe advertise that there is no perfume to the product but there is a natural scent.</t>
  </si>
  <si>
    <t>ALL REVIEWS.xlsx / thetallowedtruth-all-published- / B3211</t>
  </si>
  <si>
    <t>R25371</t>
  </si>
  <si>
    <t>Variant preference</t>
  </si>
  <si>
    <t>I use the regular F-Balm for evening before bed as it’s a little thicker.</t>
  </si>
  <si>
    <t>ALL REVIEWS.xlsx / thetallowedtruth-all-published- / B25371</t>
  </si>
  <si>
    <t>R9472</t>
  </si>
  <si>
    <t>Lip balm peppermint sensitivity</t>
  </si>
  <si>
    <t>I have sensitive skin and I think the peppermint oil irritates my lips.</t>
  </si>
  <si>
    <t>ALL REVIEWS.xlsx / thetallowedtruth-all-published- / B9472</t>
  </si>
  <si>
    <t>R888</t>
  </si>
  <si>
    <t>Lip balm longevity</t>
  </si>
  <si>
    <t>Smooth, and lasts for hours and no need to reapply.like many of the others.</t>
  </si>
  <si>
    <t>ALL REVIEWS.xlsx / thetallowedtruth-all-published- / B888</t>
  </si>
  <si>
    <t>R1543</t>
  </si>
  <si>
    <t>Field Balm limitation</t>
  </si>
  <si>
    <t>But the mosquito repellent DOES NOT work.</t>
  </si>
  <si>
    <t>ALL REVIEWS.xlsx / thetallowedtruth-all-published- / B1543</t>
  </si>
  <si>
    <t>R1755</t>
  </si>
  <si>
    <t>They bit me right through it.  Nice smell though.</t>
  </si>
  <si>
    <t>ALL REVIEWS.xlsx / thetallowedtruth-all-published- / B1755</t>
  </si>
  <si>
    <t>R5470</t>
  </si>
  <si>
    <t>S Balm application</t>
  </si>
  <si>
    <t>I don't love the S-Balm.</t>
  </si>
  <si>
    <t>ALL REVIEWS.xlsx / thetallowedtruth-all-published- / B5470</t>
  </si>
  <si>
    <t>C25</t>
  </si>
  <si>
    <t>Sample and refund friction</t>
  </si>
  <si>
    <t>Wish there was a small sample available.</t>
  </si>
  <si>
    <t>Ad rank 1</t>
  </si>
  <si>
    <t>Top_Facebook_Ad_Comments.xlsx / Comments / H25</t>
  </si>
  <si>
    <t>https://www.facebook.com/reel/1614631863018117/?comment_id=1653921052498552</t>
  </si>
  <si>
    <t>C36</t>
  </si>
  <si>
    <t>Prior category disappointment</t>
  </si>
  <si>
    <t>I’ve used other tallow on my face in the past and stopped because it caused breakouts and clogged pores. How is this different?</t>
  </si>
  <si>
    <t>Top_Facebook_Ad_Comments.xlsx / Comments / H36</t>
  </si>
  <si>
    <t>https://www.facebook.com/reel/1614631863018117/?comment_id=2144116016338758</t>
  </si>
  <si>
    <t>C43</t>
  </si>
  <si>
    <t>Purchase-mode uncertainty</t>
  </si>
  <si>
    <t>Can you order one without being on a monthly ship??</t>
  </si>
  <si>
    <t>Top_Facebook_Ad_Comments.xlsx / Comments / H43</t>
  </si>
  <si>
    <t>https://www.facebook.com/reel/1614631863018117/?comment_id=1278108430659296</t>
  </si>
  <si>
    <t>C61</t>
  </si>
  <si>
    <t>Guarantee-timing uncertainty</t>
  </si>
  <si>
    <t>If u offer a 30 day money back guarantee and it will take at least 30 days to start seeing results I don’t have much of a window to get my money back if it doesn’t work!?</t>
  </si>
  <si>
    <t>Top_Facebook_Ad_Comments.xlsx / Comments / H61</t>
  </si>
  <si>
    <t>https://www.facebook.com/reel/1614631863018117/?comment_id=859128250553697</t>
  </si>
  <si>
    <t>C65</t>
  </si>
  <si>
    <t>Online seller distrust</t>
  </si>
  <si>
    <t>Where else can you order from as I have been burned twice ordering from advertisers on Facebook. Never again</t>
  </si>
  <si>
    <t>Top_Facebook_Ad_Comments.xlsx / Comments / H65</t>
  </si>
  <si>
    <t>https://www.facebook.com/reel/1614631863018117/?comment_id=1696470291546913</t>
  </si>
  <si>
    <t>C90</t>
  </si>
  <si>
    <t>Authentic purchase channel</t>
  </si>
  <si>
    <t>How can we get it directly from you?I find it on amazon , but i'm not sure is that the real one</t>
  </si>
  <si>
    <t>Top_Facebook_Ad_Comments.xlsx / Comments / H90</t>
  </si>
  <si>
    <t>https://www.facebook.com/reel/1614631863018117/?comment_id=1108319049026298</t>
  </si>
  <si>
    <t>C103</t>
  </si>
  <si>
    <t>Ingredient and pore questions</t>
  </si>
  <si>
    <t>Also, is it non-comedogenic? I worry it will clog my pores and I'll break out.</t>
  </si>
  <si>
    <t>Top_Facebook_Ad_Comments.xlsx / Comments / H103</t>
  </si>
  <si>
    <t>https://www.facebook.com/reel/1614631863018117/?comment_id=1743756380326609</t>
  </si>
  <si>
    <t>C109</t>
  </si>
  <si>
    <t>Missing use instructions</t>
  </si>
  <si>
    <t>Directions on use? Never received any in my order.</t>
  </si>
  <si>
    <t>Top_Facebook_Ad_Comments.xlsx / Comments / H109</t>
  </si>
  <si>
    <t>https://www.facebook.com/reel/1614631863018117/?comment_id=830453296739467</t>
  </si>
  <si>
    <t>C164</t>
  </si>
  <si>
    <t>Product selection</t>
  </si>
  <si>
    <t>Which one do you recommend for face?</t>
  </si>
  <si>
    <t>Top_Facebook_Ad_Comments.xlsx / Comments / H164</t>
  </si>
  <si>
    <t>https://www.facebook.com/reel/1614631863018117/?comment_id=2034868230419937</t>
  </si>
  <si>
    <t>C173</t>
  </si>
  <si>
    <t>Older user and routine simplification</t>
  </si>
  <si>
    <t>I’m 59 and use mine every morning and evening, I’ve used many expensive creams over the years. Now this is all I use, I love it.</t>
  </si>
  <si>
    <t>Top_Facebook_Ad_Comments.xlsx / Comments / H173</t>
  </si>
  <si>
    <t>https://www.facebook.com/reel/1614631863018117/?comment_id=1424083932538707</t>
  </si>
  <si>
    <t>C218</t>
  </si>
  <si>
    <t>Moisturizer versus procedure expectation</t>
  </si>
  <si>
    <t>Does not replace botox or helps with deep wrinkles.</t>
  </si>
  <si>
    <t>Ad rank 2</t>
  </si>
  <si>
    <t>Top_Facebook_Ad_Comments.xlsx / Comments / H218</t>
  </si>
  <si>
    <t>https://www.facebook.com/61573915867947/videos/1232044895096787/?comment_id=1715897903078290</t>
  </si>
  <si>
    <t>C230</t>
  </si>
  <si>
    <t>Scent-selection uncertainty</t>
  </si>
  <si>
    <t>I don’t see anywhere to be sure it’s unscented.</t>
  </si>
  <si>
    <t>Top_Facebook_Ad_Comments.xlsx / Comments / H230</t>
  </si>
  <si>
    <t>https://www.facebook.com/61573915867947/videos/1232044895096787/?comment_id=965072443173518</t>
  </si>
  <si>
    <t>C240</t>
  </si>
  <si>
    <t>Contrasting scent experience</t>
  </si>
  <si>
    <t>I haven't tried it yet but can honestly say I don't smell anything.</t>
  </si>
  <si>
    <t>Top_Facebook_Ad_Comments.xlsx / Comments / H240</t>
  </si>
  <si>
    <t>https://www.facebook.com/61573915867947/videos/1232044895096787/?comment_id=1307929694801928</t>
  </si>
  <si>
    <t>C261</t>
  </si>
  <si>
    <t>Values as added motivation</t>
  </si>
  <si>
    <t>The fact your are a freedom friendly Canadian is the cherry on top for this</t>
  </si>
  <si>
    <t>Top_Facebook_Ad_Comments.xlsx / Comments / H261</t>
  </si>
  <si>
    <t>https://www.facebook.com/61573915867947/videos/1232044895096787/?comment_id=25676290565359395</t>
  </si>
  <si>
    <t>C286</t>
  </si>
  <si>
    <t>Dose learning</t>
  </si>
  <si>
    <t>I learned through practise that I was using too much at nighttime</t>
  </si>
  <si>
    <t>Ad rank 4</t>
  </si>
  <si>
    <t>Top_Facebook_Ad_Comments.xlsx / Comments / H286</t>
  </si>
  <si>
    <t>https://www.facebook.com/100090950379938/videos/1099105335161191/?comment_id=1668646237572615</t>
  </si>
  <si>
    <t>C296</t>
  </si>
  <si>
    <t>I found it greasy at first before realizing I was just using too much.</t>
  </si>
  <si>
    <t>Ad rank 5</t>
  </si>
  <si>
    <t>Top_Facebook_Ad_Comments.xlsx / Comments / H296</t>
  </si>
  <si>
    <t>https://www.facebook.com/reel/957102330560121/?comment_id=4669905116575738</t>
  </si>
  <si>
    <t>C306</t>
  </si>
  <si>
    <t>Long hesitation</t>
  </si>
  <si>
    <t>I've been watching these ads for atleast a year</t>
  </si>
  <si>
    <t>Ad rank 6</t>
  </si>
  <si>
    <t>Top_Facebook_Ad_Comments.xlsx / Comments / H306</t>
  </si>
  <si>
    <t>https://www.facebook.com/reel/1318334249973426/?comment_id=1455669326372683</t>
  </si>
  <si>
    <t>C334</t>
  </si>
  <si>
    <t>Repeat buyer with concern</t>
  </si>
  <si>
    <t>I've noticed recurring acne while using the products, can anyone relate?</t>
  </si>
  <si>
    <t>Ad rank 9</t>
  </si>
  <si>
    <t>Top_Facebook_Ad_Comments.xlsx / Comments / H334</t>
  </si>
  <si>
    <t>https://www.facebook.com/reel/1326296886088690/?comment_id=1017182774633674</t>
  </si>
  <si>
    <t>C425</t>
  </si>
  <si>
    <t>Outdoor parent concern</t>
  </si>
  <si>
    <t>Is it safe for kids? I want to go hiking with my toddlers but I’ve been worried about ticks</t>
  </si>
  <si>
    <t>Ad rank 18</t>
  </si>
  <si>
    <t>Top_Facebook_Ad_Comments.xlsx / Comments / H425</t>
  </si>
  <si>
    <t>https://www.facebook.com/reel/2214440102699985/?comment_id=1308259668032808</t>
  </si>
  <si>
    <t>C446</t>
  </si>
  <si>
    <t>Outdoor performance variation</t>
  </si>
  <si>
    <t>the mosquitos in Northern Ontario are built different cause they don't even seem to notice even after a fresh application.</t>
  </si>
  <si>
    <t>Ad rank 20</t>
  </si>
  <si>
    <t>Top_Facebook_Ad_Comments.xlsx / Comments / H446</t>
  </si>
  <si>
    <t>https://www.facebook.com/reel/1741467680218353/?comment_id=1005362555825949</t>
  </si>
  <si>
    <t>C469</t>
  </si>
  <si>
    <t>Boundary on natural-aging identity</t>
  </si>
  <si>
    <t>I’m still gonna do my hair. That is the one thing that I will not compromise.</t>
  </si>
  <si>
    <t>Ad rank 23</t>
  </si>
  <si>
    <t>Top_Facebook_Ad_Comments.xlsx / Comments / H469</t>
  </si>
  <si>
    <t>https://www.facebook.com/reel/1524624859215348/?comment_id=1390087053039414</t>
  </si>
  <si>
    <t>C470</t>
  </si>
  <si>
    <t>Natural-aging validation</t>
  </si>
  <si>
    <t>Women need to hear this message from men more often.</t>
  </si>
  <si>
    <t>Top_Facebook_Ad_Comments.xlsx / Comments / H470</t>
  </si>
  <si>
    <t>https://www.facebook.com/reel/1524624859215348/?comment_id=1020859280299506</t>
  </si>
  <si>
    <t>C472</t>
  </si>
  <si>
    <t>Value beyond age reversal</t>
  </si>
  <si>
    <t>I will keep using it whether it makes me look younger or not.</t>
  </si>
  <si>
    <t>Top_Facebook_Ad_Comments.xlsx / Comments / H472</t>
  </si>
  <si>
    <t>https://www.facebook.com/reel/1524624859215348/?comment_id=986323034272670</t>
  </si>
  <si>
    <t>C502</t>
  </si>
  <si>
    <t>Support and product choice</t>
  </si>
  <si>
    <t>Customer service was excellent when I had a air bubble in my whip and resulted in lesser content they sent me a new one immediately.</t>
  </si>
  <si>
    <t>Ad rank 27</t>
  </si>
  <si>
    <t>Top_Facebook_Ad_Comments.xlsx / Comments / H502</t>
  </si>
  <si>
    <t>https://www.facebook.com/100090950379938/videos/3092405700957420/?comment_id=1640640794351314</t>
  </si>
  <si>
    <t>C535</t>
  </si>
  <si>
    <t>Variant and usage preference</t>
  </si>
  <si>
    <t>I do prefer the whipped one for my face and this original one for my body.</t>
  </si>
  <si>
    <t>Ad rank 30</t>
  </si>
  <si>
    <t>Top_Facebook_Ad_Comments.xlsx / Comments / H535</t>
  </si>
  <si>
    <t>https://www.facebook.com/61573915867947/videos/1463449475388333/?comment_id=1803062904413844</t>
  </si>
  <si>
    <t>C536</t>
  </si>
  <si>
    <t>Ad attraction followed by continued use</t>
  </si>
  <si>
    <t>To be honest with you I just bought your product because I loved your ads and now it's been over 6 months and I love your products.</t>
  </si>
  <si>
    <t>Top_Facebook_Ad_Comments.xlsx / Comments / H536</t>
  </si>
  <si>
    <t>https://www.facebook.com/61573915867947/videos/1463449475388333/?comment_id=1530742974662529</t>
  </si>
  <si>
    <t>C44</t>
  </si>
  <si>
    <t>Values rejection</t>
  </si>
  <si>
    <t>But does it turn you into Maple Maga like the company is? Because hard pass there, bud!</t>
  </si>
  <si>
    <t>Top_Facebook_Ad_Comments.xlsx / Comments / H44</t>
  </si>
  <si>
    <t>https://www.facebook.com/reel/1614631863018117/?comment_id=973616501885194</t>
  </si>
  <si>
    <t>C26</t>
  </si>
  <si>
    <t>Demand for proof</t>
  </si>
  <si>
    <t>Post pic of your neighbour. Maybe before/after pics so we can see how product benefits our aging skin!</t>
  </si>
  <si>
    <t>Top_Facebook_Ad_Comments.xlsx / Comments / H26</t>
  </si>
  <si>
    <t>https://www.facebook.com/reel/1614631863018117/?comment_id=1872979620187671</t>
  </si>
  <si>
    <t>Sources and analysis method</t>
  </si>
  <si>
    <t>Key</t>
  </si>
  <si>
    <t>Topic</t>
  </si>
  <si>
    <t>Scope or method</t>
  </si>
  <si>
    <t>Source</t>
  </si>
  <si>
    <t>M1</t>
  </si>
  <si>
    <t>Review scope</t>
  </si>
  <si>
    <t>All 38,913 populated entries in ALL REVIEWS.xlsx, sheet thetallowedtruth-all-published-, rows 2–38914. Dates 2023-06-12 through 2026-09-03. All titles and bodies were processed. Brand replies were excluded from customer-language coding.</t>
  </si>
  <si>
    <t>ALL REVIEWS.xlsx / thetallowedtruth-all-published-!A1:P38914</t>
  </si>
  <si>
    <t>M2</t>
  </si>
  <si>
    <t>Deduplication</t>
  </si>
  <si>
    <t>Each review ID is distinct, but content is repeated. Grouping by normalized reviewer email, normalized title/body, rating and exact review timestamp yields 35,152 review events; 3,761 repeated entries are counted once. A stricter check that also ignores timestamp yields 33,733 author/text/rating groups. Repeated generic feedback from different people is retained.</t>
  </si>
  <si>
    <t>M3</t>
  </si>
  <si>
    <t>Ad coverage</t>
  </si>
  <si>
    <t>Top Ads All Time-3.docx supplies 21 full scripts. Its embedded analysis and final Messaging Prompt are reference content, not customer testimony or instructions for this task. Script analysis does not establish visual execution, actual results or cause of performance. Supplied rank is retained; the metric behind the rank is unknown.</t>
  </si>
  <si>
    <t>Top Ads All Time-3.docx</t>
  </si>
  <si>
    <t>M4</t>
  </si>
  <si>
    <t>Facebook coverage</t>
  </si>
  <si>
    <t>All 530 captured top-level comments in Comments!H7:H536 were examined. The source covers 29 unique posts mapped to 30 ranked assets. Rank 26 shares rank 3’s post. Rank 1 supplies 190 comments and rank 2 supplies 70; together they account for 49.1% of the capture. Replies and unrendered comments are absent. This is not a representative sample of all engagement.</t>
  </si>
  <si>
    <t>Top_Facebook_Ad_Comments.xlsx / Comments!A6:O536 and Posts!A6:L36</t>
  </si>
  <si>
    <t>M5</t>
  </si>
  <si>
    <t>Product attribution</t>
  </si>
  <si>
    <t>The export has 63 nonblank product handles plus 867 unassigned entries. Some identical feedback is syndicated across handles, and some f-balm rows explicitly describe Field Balm, Face Whip or body butter. Therefore the primary theme analysis is brand-level. Product-specific examples were assigned by wording, with the original handle preserved. Product counts are raw entries, not independent outcome measurements.</t>
  </si>
  <si>
    <t>M6</t>
  </si>
  <si>
    <t>Demographics</t>
  </si>
  <si>
    <t>No customer age, gender, income, occupation, education or marital-status distribution is supplied. Only 3,704 raw entries have location text. Ages and household details in the worksheet are self-reported examples or explicit creative assumptions.</t>
  </si>
  <si>
    <t>M7</t>
  </si>
  <si>
    <t>Theme counting</t>
  </si>
  <si>
    <t>23 case-insensitive lexical rules scan review title plus body and Facebook comment text. A record counts once per matching theme and can match several themes. Counts include positive, negative, neutral and question contexts; they are mention counts, not sentiment, medical incidence, effect sizes or purchase drivers. Matching rules are included on Source coverage; counts appear on Review patterns.</t>
  </si>
  <si>
    <t>M8</t>
  </si>
  <si>
    <t>Qualitative interpretation</t>
  </si>
  <si>
    <t>All scripts and captured comments were read. The review corpus was screened in full computationally, then examined through theme-specific positive, mixed and low-rated examples, longer accounts and product-specific comparisons. The report does not claim 38,913 individual manual close readings. Quotes were checked against their source cells.</t>
  </si>
  <si>
    <t>M9</t>
  </si>
  <si>
    <t>Sensitivity check</t>
  </si>
  <si>
    <t>Removing repeated author/text/rating feedback even across different timestamps leaves 33,733 groups. The largest three lexical categories remain scent, softness/smoothness and moisture/hydration. Both counts are shown. This checks repetition sensitivity, not representativeness or authenticity.</t>
  </si>
  <si>
    <t>M10</t>
  </si>
  <si>
    <t>Evidence boundaries</t>
  </si>
  <si>
    <t>Ad statements are claims. Customer statements are reported experiences. Strategic conclusions are interpretations. External brand pages show current messaging, not independent efficacy validation. No campaign economics, controlled product testing or purchase-verification fields were supplied.</t>
  </si>
  <si>
    <t>M11</t>
  </si>
  <si>
    <t>External check</t>
  </si>
  <si>
    <t>Seven primary pages were checked on September 11, 2026 to clarify current brand information, three competitors and the category evidence gap. This was a limited supplementary check, not exhaustive market research.</t>
  </si>
  <si>
    <t>M12</t>
  </si>
  <si>
    <t>R followed by a number means the original row in ALL REVIEWS.xlsx; review body is column B and rating column C. C followed by a number means the original row in Top_Facebook_Ad_Comments.xlsx Comments tab, with text in H and permalink in L. A is the supplied asset rank. T identifies a theme counted on Review patterns, with its matching rule on Source coverage. W is an external source listed below.</t>
  </si>
  <si>
    <t>External source</t>
  </si>
  <si>
    <t>How it was used</t>
  </si>
  <si>
    <t>URL checked September 11, 2026</t>
  </si>
  <si>
    <t>W1</t>
  </si>
  <si>
    <t>The Tallowed Truth F-Balm offer page</t>
  </si>
  <si>
    <t>Current brand assertions on ingredients and purification; not laboratory verification.</t>
  </si>
  <si>
    <t>https://thetallowedtruth.com/pages/f-balm-offer-page-b</t>
  </si>
  <si>
    <t>W2</t>
  </si>
  <si>
    <t>The Tallowed Truth FAQ</t>
  </si>
  <si>
    <t>Brand descriptions of variants, origins and use; wording conflicts with W1 on unscented composition.</t>
  </si>
  <si>
    <t>https://thetallowedtruth.com/pages/faq</t>
  </si>
  <si>
    <t>W3</t>
  </si>
  <si>
    <t>The Tallowed Truth money-back guarantee</t>
  </si>
  <si>
    <t>Current published process; not an audit of how individual refunds were handled.</t>
  </si>
  <si>
    <t>https://thetallowedtruth.com/pages/refund-policy</t>
  </si>
  <si>
    <t>W4</t>
  </si>
  <si>
    <t>VanMan Tallow and Honey Face Balm</t>
  </si>
  <si>
    <t>Direct-competitor product-page messaging and presented proof.</t>
  </si>
  <si>
    <t>https://vanman.shop/products/vanmans-tallow-honey-balm-2-oz</t>
  </si>
  <si>
    <t>W5</t>
  </si>
  <si>
    <t>Toups Frankincense Face Balm</t>
  </si>
  <si>
    <t>https://toupsandco.com/products/frankincense-face-balm-full-size-subscription</t>
  </si>
  <si>
    <t>W6</t>
  </si>
  <si>
    <t>Olay Regenerist Micro-Sculpting Cream</t>
  </si>
  <si>
    <t>Conventional skincare positioning; checked page is not identified as the cream in A08/A24.</t>
  </si>
  <si>
    <t>https://www.olay.com/products/regenerist-micro-sculpting-cream-moisturizer</t>
  </si>
  <si>
    <t>Russell et al 2024 tallow scoping review</t>
  </si>
  <si>
    <t>Category evidence review; not a test of the finished F-Balm formulation.</t>
  </si>
  <si>
    <t>https://pubmed.ncbi.nlm.nih.gov/38910727/</t>
  </si>
  <si>
    <t>Rule</t>
  </si>
  <si>
    <t>Case-insensitive matching pattern</t>
  </si>
  <si>
    <t>T01</t>
  </si>
  <si>
    <t>\bsoft(?:er|est|ness|en(?:s|ed|ing)?)?\b|\bsmooth(?:er|est|ness|s|ed|ing)?\b</t>
  </si>
  <si>
    <t>Title plus body; once per theme per event. Matches can be positive, negative or neutral.</t>
  </si>
  <si>
    <t>T02</t>
  </si>
  <si>
    <t>moisturi[sz]|hydrat|\bmoist\b</t>
  </si>
  <si>
    <t>T03</t>
  </si>
  <si>
    <t>\bdry(?:ness|ing|er|est)?\b|\bcrack(?:s|ed|ing)?\b|\bflak(?:y|ing|es)\b</t>
  </si>
  <si>
    <t>T04</t>
  </si>
  <si>
    <t>\bscent|\bsmell|\bfragrance|\bunscented|\bodou?r</t>
  </si>
  <si>
    <t>T05</t>
  </si>
  <si>
    <t>\bgreas|\boily\b|\boiliness</t>
  </si>
  <si>
    <t>T06</t>
  </si>
  <si>
    <t>\btexture|\bconsistenc|\bgrainy|\bgritty|\bhard\b|\bspread|\bmelt|\babsorb</t>
  </si>
  <si>
    <t>T07</t>
  </si>
  <si>
    <t>\bnatural\b|\bingredient|\bchemical|\btoxic|\borganic\b|\bclean\b</t>
  </si>
  <si>
    <t>T08</t>
  </si>
  <si>
    <t>\bwrinkl|\bfine lines?\b|\baging\b|\bageing\b|\byounger\b|\bcrepey\b|\bcrepy\b</t>
  </si>
  <si>
    <t>T09</t>
  </si>
  <si>
    <t>\bglow|\bradian</t>
  </si>
  <si>
    <t>T10</t>
  </si>
  <si>
    <t>\bsensitive|\bsensitivity|\beczema|\bpsoriasis|\brosacea|\bdermatitis|\birritat|\bitch</t>
  </si>
  <si>
    <t>T11</t>
  </si>
  <si>
    <t>\bacne|\bbreak(?:ing)?\s*out|\bbroke\s*out|\bbreakouts?\b|\bpimple|\bclog</t>
  </si>
  <si>
    <t>T12</t>
  </si>
  <si>
    <t>\bpric|\bexpensive|\bcost|\bworth|\bafford|\bsmall\b|\btiny\b|little (?:bit )?goes|\blasts?\b|\blasting\b</t>
  </si>
  <si>
    <t>T13</t>
  </si>
  <si>
    <t>\breorder|\bre-order|\brepurchas|\bbuy(?:ing)? (?:it |this |them )?again\b|\border(?:ed|ing)? (?:it |this |them )?again\b|\brepeat\b|\bsecond\b|\bthird\b</t>
  </si>
  <si>
    <t>T14</t>
  </si>
  <si>
    <t>\broutine|\breplac|\bditch|\bonly (?:product|cream|moisturi[sz]er|thing)|\bsimpl</t>
  </si>
  <si>
    <t>T15</t>
  </si>
  <si>
    <t>\bcanad|\blocal\b|\bfamily.owned|\bsmall business</t>
  </si>
  <si>
    <t>T16</t>
  </si>
  <si>
    <t>\bshipping|\bdelivery|\bdeliver(?:ed|y)?|\bcustomer service|\barriv|\brefund|\bpackage|\bpackaging</t>
  </si>
  <si>
    <t>T17</t>
  </si>
  <si>
    <t>\bbotox|\bfiller|\binject|\bplastic surg</t>
  </si>
  <si>
    <t>T18</t>
  </si>
  <si>
    <t>\bticks?\b|\bmosquit|\bbugs?\b|\brepellen|\boutdoor</t>
  </si>
  <si>
    <t>T19</t>
  </si>
  <si>
    <t>\bsun(?:screen|block|burn|shine)?\b|\bspf\b|\buv\b</t>
  </si>
  <si>
    <t>T20</t>
  </si>
  <si>
    <t>\bchristian|\bjesus|\bgod\b|\bpolitic|\bpatriot|\btrudeau|\bconvoy|\bvalues\b|\bstand(?:s|ing)? for\b|\bwoke\b|\btyranny|\btruckers?\b|\bfreedom friendly\b|\bstands? (?:up )?for freedom\b</t>
  </si>
  <si>
    <t>T21</t>
  </si>
  <si>
    <t>\bskeptic|\bsceptic|\bscam|\blegit|\bfake|\bhesitan</t>
  </si>
  <si>
    <t>T22</t>
  </si>
  <si>
    <t>(?:no|not (?:seen|seeing|noticed|notice|much|a)) (?:real |any |noticeable |significant )?(?:results?|difference|change|improvement)|doesn.t (?:work|help)|didn.t (?:work|help)|not (?:work|help)</t>
  </si>
  <si>
    <t>T23</t>
  </si>
  <si>
    <t>\bhusband|\bwife|\bson\b|\bdaughter|\bkids?\b|\bchildren|\bgrand|\bfamily|\bsister|\bbrother|\bmother|\bfather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</si>
</sst>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6">
    <font>
      <sz val="11"/>
      <name val="Carlito"/>
    </font>
    <font>
      <sz val="11"/>
      <color rgb="FF202520"/>
      <name val="Arial"/>
      <family val="2"/>
    </font>
    <font>
      <b/>
      <sz val="16"/>
      <color rgb="FF202520"/>
      <name val="Arial"/>
      <family val="2"/>
    </font>
    <font>
      <sz val="11"/>
      <color rgb="FF5B625E"/>
      <name val="Arial"/>
      <family val="2"/>
    </font>
    <font>
      <b/>
      <sz val="11"/>
      <color rgb="FFFFFFFF"/>
      <name val="Arial"/>
      <family val="2"/>
    </font>
    <font>
      <b/>
      <sz val="11"/>
      <color rgb="FF202520"/>
      <name val="Arial"/>
      <family val="2"/>
    </font>
  </fonts>
  <fills count="5">
    <fill>
      <patternFill patternType="none"/>
    </fill>
    <fill>
      <patternFill patternType="gray125"/>
    </fill>
    <fill>
      <patternFill patternType="solid">
        <fgColor rgb="FF283B34"/>
      </patternFill>
    </fill>
    <fill>
      <patternFill patternType="solid">
        <fgColor rgb="FFEDF2EE"/>
      </patternFill>
    </fill>
    <fill>
      <patternFill patternType="solid">
        <fgColor rgb="FFF4F6F4"/>
      </patternFill>
    </fill>
  </fills>
  <borders count="2">
    <border>
      <left/>
      <right/>
      <top/>
      <bottom/>
      <diagonal/>
    </border>
    <border>
      <left/>
      <right/>
      <top/>
      <bottom style="thin">
        <color rgb="FFCAD1CB"/>
      </bottom>
      <diagonal/>
    </border>
  </borders>
  <cellStyleXfs count="1">
    <xf numFmtId="0" fontId="0" fillId="0" borderId="0"/>
  </cellStyleXfs>
  <cellXfs count="18">
    <xf numFmtId="0" fontId="0" fillId="0" borderId="0" xfId="0"/>
    <xf numFmtId="0" fontId="1" fillId="0" borderId="0" xfId="0" applyFont="1" applyAlignment="1">
      <alignment vertical="center"/>
    </xf>
    <xf numFmtId="0" fontId="2" fillId="0" borderId="1" xfId="0" applyFont="1" applyBorder="1" applyAlignment="1">
      <alignment vertical="center"/>
    </xf>
    <xf numFmtId="0" fontId="3" fillId="0" borderId="0" xfId="0" applyFont="1" applyAlignment="1">
      <alignment vertical="center"/>
    </xf>
    <xf numFmtId="0" fontId="4" fillId="2" borderId="0" xfId="0" applyFont="1" applyFill="1" applyAlignment="1">
      <alignment horizontal="center" vertical="center" wrapText="1"/>
    </xf>
    <xf numFmtId="0" fontId="5" fillId="3" borderId="0" xfId="0" applyFont="1" applyFill="1" applyAlignment="1">
      <alignment vertical="center"/>
    </xf>
    <xf numFmtId="0" fontId="1" fillId="0" borderId="0" xfId="0" applyFont="1" applyAlignment="1">
      <alignment vertical="top" wrapText="1"/>
    </xf>
    <xf numFmtId="3" fontId="1" fillId="0" borderId="0" xfId="0" applyNumberFormat="1" applyFont="1" applyAlignment="1">
      <alignment vertical="center"/>
    </xf>
    <xf numFmtId="0" fontId="1" fillId="4" borderId="0" xfId="0" applyFont="1" applyFill="1" applyAlignment="1">
      <alignment vertical="top" wrapText="1"/>
    </xf>
    <xf numFmtId="3" fontId="1" fillId="0" borderId="0" xfId="0" applyNumberFormat="1" applyFont="1" applyAlignment="1">
      <alignment vertical="top" wrapText="1"/>
    </xf>
    <xf numFmtId="3" fontId="1" fillId="4" borderId="0" xfId="0" applyNumberFormat="1" applyFont="1" applyFill="1" applyAlignment="1">
      <alignment vertical="top" wrapText="1"/>
    </xf>
    <xf numFmtId="3" fontId="1" fillId="0" borderId="0" xfId="0" applyNumberFormat="1" applyFont="1" applyAlignment="1">
      <alignment horizontal="right" vertical="top" wrapText="1"/>
    </xf>
    <xf numFmtId="164" fontId="1" fillId="0" borderId="0" xfId="0" applyNumberFormat="1" applyFont="1" applyAlignment="1">
      <alignment horizontal="right" vertical="top" wrapText="1"/>
    </xf>
    <xf numFmtId="3" fontId="1" fillId="4" borderId="0" xfId="0" applyNumberFormat="1" applyFont="1" applyFill="1" applyAlignment="1">
      <alignment horizontal="right" vertical="top" wrapText="1"/>
    </xf>
    <xf numFmtId="164" fontId="1" fillId="4" borderId="0" xfId="0" applyNumberFormat="1" applyFont="1" applyFill="1" applyAlignment="1">
      <alignment horizontal="right" vertical="top" wrapText="1"/>
    </xf>
    <xf numFmtId="164" fontId="1" fillId="0" borderId="0" xfId="0" applyNumberFormat="1" applyFont="1" applyAlignment="1">
      <alignment vertical="center"/>
    </xf>
    <xf numFmtId="2" fontId="1" fillId="0" borderId="0" xfId="0" applyNumberFormat="1" applyFont="1" applyAlignment="1">
      <alignment vertical="top" wrapText="1"/>
    </xf>
    <xf numFmtId="2" fontId="1" fillId="4" borderId="0" xfId="0" applyNumberFormat="1" applyFont="1" applyFill="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83B34"/>
  </sheetPr>
  <dimension ref="A1:D115"/>
  <sheetViews>
    <sheetView showGridLines="0" tabSelected="1" workbookViewId="0">
      <pane xSplit="1" ySplit="5" topLeftCell="B6" activePane="bottomRight" state="frozen"/>
      <selection pane="topRight"/>
      <selection pane="bottomLeft"/>
      <selection pane="bottomRight" activeCell="B6" sqref="B6"/>
    </sheetView>
  </sheetViews>
  <sheetFormatPr baseColWidth="10" defaultColWidth="8.83203125" defaultRowHeight="14"/>
  <cols>
    <col min="1" max="1" width="28.33203125" customWidth="1"/>
    <col min="2" max="2" width="73.33203125" customWidth="1"/>
    <col min="3" max="3" width="17.1640625" customWidth="1"/>
    <col min="4" max="4" width="23.33203125" customWidth="1"/>
  </cols>
  <sheetData>
    <row r="1" spans="1:4">
      <c r="A1" s="1"/>
      <c r="B1" s="1"/>
      <c r="C1" s="1"/>
      <c r="D1" s="1"/>
    </row>
    <row r="2" spans="1:4" ht="29" customHeight="1">
      <c r="A2" s="2" t="s">
        <v>0</v>
      </c>
      <c r="B2" s="2"/>
      <c r="C2" s="2"/>
      <c r="D2" s="2"/>
    </row>
    <row r="3" spans="1:4" ht="30" customHeight="1">
      <c r="A3" s="3" t="s">
        <v>1</v>
      </c>
      <c r="B3" s="3" t="s">
        <v>2</v>
      </c>
      <c r="C3" s="3"/>
      <c r="D3" s="3"/>
    </row>
    <row r="4" spans="1:4">
      <c r="A4" s="1"/>
      <c r="B4" s="1"/>
      <c r="C4" s="1"/>
      <c r="D4" s="1"/>
    </row>
    <row r="5" spans="1:4" ht="30" customHeight="1">
      <c r="A5" s="4" t="s">
        <v>3</v>
      </c>
      <c r="B5" s="4" t="s">
        <v>4</v>
      </c>
      <c r="C5" s="4" t="s">
        <v>5</v>
      </c>
      <c r="D5" s="4" t="s">
        <v>6</v>
      </c>
    </row>
    <row r="6" spans="1:4" ht="32" customHeight="1">
      <c r="A6" s="5" t="s">
        <v>7</v>
      </c>
      <c r="B6" s="5"/>
      <c r="C6" s="5"/>
      <c r="D6" s="5"/>
    </row>
    <row r="7" spans="1:4" ht="91.5" customHeight="1">
      <c r="A7" s="6" t="s">
        <v>8</v>
      </c>
      <c r="B7" s="6" t="s">
        <v>9</v>
      </c>
      <c r="C7" s="6" t="s">
        <v>10</v>
      </c>
      <c r="D7" s="6" t="s">
        <v>11</v>
      </c>
    </row>
    <row r="8" spans="1:4" ht="76.5" customHeight="1">
      <c r="A8" s="6" t="s">
        <v>12</v>
      </c>
      <c r="B8" s="6" t="s">
        <v>13</v>
      </c>
      <c r="C8" s="6" t="s">
        <v>14</v>
      </c>
      <c r="D8" s="6" t="s">
        <v>15</v>
      </c>
    </row>
    <row r="9" spans="1:4" ht="76.5" customHeight="1">
      <c r="A9" s="6" t="s">
        <v>16</v>
      </c>
      <c r="B9" s="6" t="s">
        <v>17</v>
      </c>
      <c r="C9" s="6" t="s">
        <v>14</v>
      </c>
      <c r="D9" s="6" t="s">
        <v>18</v>
      </c>
    </row>
    <row r="10" spans="1:4" ht="151.5" customHeight="1">
      <c r="A10" s="6" t="s">
        <v>19</v>
      </c>
      <c r="B10" s="6" t="s">
        <v>20</v>
      </c>
      <c r="C10" s="6" t="s">
        <v>21</v>
      </c>
      <c r="D10" s="6" t="s">
        <v>22</v>
      </c>
    </row>
    <row r="11" spans="1:4" ht="76.5" customHeight="1">
      <c r="A11" s="6" t="s">
        <v>23</v>
      </c>
      <c r="B11" s="6" t="s">
        <v>24</v>
      </c>
      <c r="C11" s="6" t="s">
        <v>14</v>
      </c>
      <c r="D11" s="6" t="s">
        <v>25</v>
      </c>
    </row>
    <row r="12" spans="1:4" ht="106.5" customHeight="1">
      <c r="A12" s="6" t="s">
        <v>26</v>
      </c>
      <c r="B12" s="6" t="s">
        <v>27</v>
      </c>
      <c r="C12" s="6" t="s">
        <v>14</v>
      </c>
      <c r="D12" s="6" t="s">
        <v>28</v>
      </c>
    </row>
    <row r="13" spans="1:4" ht="76.5" customHeight="1">
      <c r="A13" s="6" t="s">
        <v>29</v>
      </c>
      <c r="B13" s="6" t="s">
        <v>30</v>
      </c>
      <c r="C13" s="6" t="s">
        <v>14</v>
      </c>
      <c r="D13" s="6" t="s">
        <v>31</v>
      </c>
    </row>
    <row r="14" spans="1:4" ht="76.5" customHeight="1">
      <c r="A14" s="6" t="s">
        <v>32</v>
      </c>
      <c r="B14" s="6" t="s">
        <v>33</v>
      </c>
      <c r="C14" s="6" t="s">
        <v>14</v>
      </c>
      <c r="D14" s="6" t="s">
        <v>34</v>
      </c>
    </row>
    <row r="15" spans="1:4" ht="61.5" customHeight="1">
      <c r="A15" s="6" t="s">
        <v>35</v>
      </c>
      <c r="B15" s="6" t="s">
        <v>36</v>
      </c>
      <c r="C15" s="6" t="s">
        <v>14</v>
      </c>
      <c r="D15" s="6" t="s">
        <v>37</v>
      </c>
    </row>
    <row r="16" spans="1:4" ht="32" customHeight="1">
      <c r="A16" s="5" t="s">
        <v>38</v>
      </c>
      <c r="B16" s="5"/>
      <c r="C16" s="5"/>
      <c r="D16" s="5"/>
    </row>
    <row r="17" spans="1:4" ht="91.5" customHeight="1">
      <c r="A17" s="6" t="s">
        <v>39</v>
      </c>
      <c r="B17" s="6" t="s">
        <v>40</v>
      </c>
      <c r="C17" s="6" t="s">
        <v>41</v>
      </c>
      <c r="D17" s="6" t="s">
        <v>42</v>
      </c>
    </row>
    <row r="18" spans="1:4" ht="76.5" customHeight="1">
      <c r="A18" s="6" t="s">
        <v>43</v>
      </c>
      <c r="B18" s="6" t="s">
        <v>44</v>
      </c>
      <c r="C18" s="6" t="s">
        <v>45</v>
      </c>
      <c r="D18" s="6" t="s">
        <v>46</v>
      </c>
    </row>
    <row r="19" spans="1:4" ht="46.5" customHeight="1">
      <c r="A19" s="6" t="s">
        <v>47</v>
      </c>
      <c r="B19" s="6" t="s">
        <v>48</v>
      </c>
      <c r="C19" s="6" t="s">
        <v>49</v>
      </c>
      <c r="D19" s="6" t="s">
        <v>50</v>
      </c>
    </row>
    <row r="20" spans="1:4" ht="76.5" customHeight="1">
      <c r="A20" s="6" t="s">
        <v>51</v>
      </c>
      <c r="B20" s="6" t="s">
        <v>52</v>
      </c>
      <c r="C20" s="6" t="s">
        <v>53</v>
      </c>
      <c r="D20" s="6" t="s">
        <v>54</v>
      </c>
    </row>
    <row r="21" spans="1:4" ht="76.5" customHeight="1">
      <c r="A21" s="6" t="s">
        <v>55</v>
      </c>
      <c r="B21" s="6" t="s">
        <v>56</v>
      </c>
      <c r="C21" s="6" t="s">
        <v>57</v>
      </c>
      <c r="D21" s="6" t="s">
        <v>58</v>
      </c>
    </row>
    <row r="22" spans="1:4" ht="46.5" customHeight="1">
      <c r="A22" s="6" t="s">
        <v>59</v>
      </c>
      <c r="B22" s="6" t="s">
        <v>60</v>
      </c>
      <c r="C22" s="6" t="s">
        <v>49</v>
      </c>
      <c r="D22" s="6" t="s">
        <v>61</v>
      </c>
    </row>
    <row r="23" spans="1:4" ht="61.5" customHeight="1">
      <c r="A23" s="6" t="s">
        <v>62</v>
      </c>
      <c r="B23" s="6" t="s">
        <v>63</v>
      </c>
      <c r="C23" s="6" t="s">
        <v>49</v>
      </c>
      <c r="D23" s="6" t="s">
        <v>64</v>
      </c>
    </row>
    <row r="24" spans="1:4" ht="76.5" customHeight="1">
      <c r="A24" s="6" t="s">
        <v>65</v>
      </c>
      <c r="B24" s="6" t="s">
        <v>66</v>
      </c>
      <c r="C24" s="6" t="s">
        <v>41</v>
      </c>
      <c r="D24" s="6" t="s">
        <v>67</v>
      </c>
    </row>
    <row r="25" spans="1:4" ht="46.5" customHeight="1">
      <c r="A25" s="6" t="s">
        <v>68</v>
      </c>
      <c r="B25" s="6" t="s">
        <v>69</v>
      </c>
      <c r="C25" s="6" t="s">
        <v>49</v>
      </c>
      <c r="D25" s="6" t="s">
        <v>70</v>
      </c>
    </row>
    <row r="26" spans="1:4" ht="61.5" customHeight="1">
      <c r="A26" s="6" t="s">
        <v>71</v>
      </c>
      <c r="B26" s="6" t="s">
        <v>72</v>
      </c>
      <c r="C26" s="6" t="s">
        <v>57</v>
      </c>
      <c r="D26" s="6" t="s">
        <v>73</v>
      </c>
    </row>
    <row r="27" spans="1:4" ht="31.5" customHeight="1">
      <c r="A27" s="6" t="s">
        <v>74</v>
      </c>
      <c r="B27" s="6" t="s">
        <v>75</v>
      </c>
      <c r="C27" s="6" t="s">
        <v>49</v>
      </c>
      <c r="D27" s="6" t="s">
        <v>61</v>
      </c>
    </row>
    <row r="28" spans="1:4" ht="46.5" customHeight="1">
      <c r="A28" s="6" t="s">
        <v>76</v>
      </c>
      <c r="B28" s="6" t="s">
        <v>77</v>
      </c>
      <c r="C28" s="6" t="s">
        <v>49</v>
      </c>
      <c r="D28" s="6" t="s">
        <v>78</v>
      </c>
    </row>
    <row r="29" spans="1:4" ht="61.5" customHeight="1">
      <c r="A29" s="6" t="s">
        <v>79</v>
      </c>
      <c r="B29" s="6" t="s">
        <v>80</v>
      </c>
      <c r="C29" s="6" t="s">
        <v>57</v>
      </c>
      <c r="D29" s="6" t="s">
        <v>81</v>
      </c>
    </row>
    <row r="30" spans="1:4" ht="91.5" customHeight="1">
      <c r="A30" s="6" t="s">
        <v>82</v>
      </c>
      <c r="B30" s="6" t="s">
        <v>83</v>
      </c>
      <c r="C30" s="6" t="s">
        <v>21</v>
      </c>
      <c r="D30" s="6" t="s">
        <v>84</v>
      </c>
    </row>
    <row r="31" spans="1:4" ht="91.5" customHeight="1">
      <c r="A31" s="6" t="s">
        <v>85</v>
      </c>
      <c r="B31" s="6" t="s">
        <v>86</v>
      </c>
      <c r="C31" s="6" t="s">
        <v>53</v>
      </c>
      <c r="D31" s="6" t="s">
        <v>87</v>
      </c>
    </row>
    <row r="32" spans="1:4" ht="76.5" customHeight="1">
      <c r="A32" s="6" t="s">
        <v>88</v>
      </c>
      <c r="B32" s="6" t="s">
        <v>89</v>
      </c>
      <c r="C32" s="6" t="s">
        <v>57</v>
      </c>
      <c r="D32" s="6" t="s">
        <v>90</v>
      </c>
    </row>
    <row r="33" spans="1:4" ht="32" customHeight="1">
      <c r="A33" s="5" t="s">
        <v>91</v>
      </c>
      <c r="B33" s="5"/>
      <c r="C33" s="5"/>
      <c r="D33" s="5"/>
    </row>
    <row r="34" spans="1:4" ht="76.5" customHeight="1">
      <c r="A34" s="6" t="s">
        <v>92</v>
      </c>
      <c r="B34" s="6" t="s">
        <v>93</v>
      </c>
      <c r="C34" s="6" t="s">
        <v>14</v>
      </c>
      <c r="D34" s="6" t="s">
        <v>94</v>
      </c>
    </row>
    <row r="35" spans="1:4" ht="91.5" customHeight="1">
      <c r="A35" s="6" t="s">
        <v>95</v>
      </c>
      <c r="B35" s="6" t="s">
        <v>96</v>
      </c>
      <c r="C35" s="6" t="s">
        <v>97</v>
      </c>
      <c r="D35" s="6" t="s">
        <v>98</v>
      </c>
    </row>
    <row r="36" spans="1:4" ht="61.5" customHeight="1">
      <c r="A36" s="6" t="s">
        <v>99</v>
      </c>
      <c r="B36" s="6" t="s">
        <v>100</v>
      </c>
      <c r="C36" s="6" t="s">
        <v>14</v>
      </c>
      <c r="D36" s="6" t="s">
        <v>101</v>
      </c>
    </row>
    <row r="37" spans="1:4" ht="46.5" customHeight="1">
      <c r="A37" s="6" t="s">
        <v>102</v>
      </c>
      <c r="B37" s="6" t="s">
        <v>103</v>
      </c>
      <c r="C37" s="6" t="s">
        <v>104</v>
      </c>
      <c r="D37" s="6" t="s">
        <v>105</v>
      </c>
    </row>
    <row r="38" spans="1:4" ht="61.5" customHeight="1">
      <c r="A38" s="6" t="s">
        <v>106</v>
      </c>
      <c r="B38" s="6" t="s">
        <v>107</v>
      </c>
      <c r="C38" s="6" t="s">
        <v>14</v>
      </c>
      <c r="D38" s="6" t="s">
        <v>108</v>
      </c>
    </row>
    <row r="39" spans="1:4" ht="61.5" customHeight="1">
      <c r="A39" s="6" t="s">
        <v>109</v>
      </c>
      <c r="B39" s="6" t="s">
        <v>110</v>
      </c>
      <c r="C39" s="6" t="s">
        <v>111</v>
      </c>
      <c r="D39" s="6" t="s">
        <v>112</v>
      </c>
    </row>
    <row r="40" spans="1:4" ht="76.5" customHeight="1">
      <c r="A40" s="6" t="s">
        <v>113</v>
      </c>
      <c r="B40" s="6" t="s">
        <v>114</v>
      </c>
      <c r="C40" s="6" t="s">
        <v>115</v>
      </c>
      <c r="D40" s="6" t="s">
        <v>116</v>
      </c>
    </row>
    <row r="41" spans="1:4" ht="46.5" customHeight="1">
      <c r="A41" s="6" t="s">
        <v>117</v>
      </c>
      <c r="B41" s="6" t="s">
        <v>118</v>
      </c>
      <c r="C41" s="6" t="s">
        <v>119</v>
      </c>
      <c r="D41" s="6" t="s">
        <v>120</v>
      </c>
    </row>
    <row r="42" spans="1:4" ht="61.5" customHeight="1">
      <c r="A42" s="6" t="s">
        <v>121</v>
      </c>
      <c r="B42" s="6" t="s">
        <v>122</v>
      </c>
      <c r="C42" s="6" t="s">
        <v>104</v>
      </c>
      <c r="D42" s="6" t="s">
        <v>123</v>
      </c>
    </row>
    <row r="43" spans="1:4" ht="76.5" customHeight="1">
      <c r="A43" s="6" t="s">
        <v>124</v>
      </c>
      <c r="B43" s="6" t="s">
        <v>125</v>
      </c>
      <c r="C43" s="6" t="s">
        <v>14</v>
      </c>
      <c r="D43" s="6" t="s">
        <v>126</v>
      </c>
    </row>
    <row r="44" spans="1:4" ht="76.5" customHeight="1">
      <c r="A44" s="6" t="s">
        <v>127</v>
      </c>
      <c r="B44" s="6" t="s">
        <v>128</v>
      </c>
      <c r="C44" s="6" t="s">
        <v>53</v>
      </c>
      <c r="D44" s="6" t="s">
        <v>129</v>
      </c>
    </row>
    <row r="45" spans="1:4" ht="76.5" customHeight="1">
      <c r="A45" s="6" t="s">
        <v>130</v>
      </c>
      <c r="B45" s="6" t="s">
        <v>131</v>
      </c>
      <c r="C45" s="6" t="s">
        <v>14</v>
      </c>
      <c r="D45" s="6" t="s">
        <v>132</v>
      </c>
    </row>
    <row r="46" spans="1:4" ht="76.5" customHeight="1">
      <c r="A46" s="6" t="s">
        <v>133</v>
      </c>
      <c r="B46" s="6" t="s">
        <v>134</v>
      </c>
      <c r="C46" s="6" t="s">
        <v>14</v>
      </c>
      <c r="D46" s="6" t="s">
        <v>135</v>
      </c>
    </row>
    <row r="47" spans="1:4" ht="76.5" customHeight="1">
      <c r="A47" s="6" t="s">
        <v>136</v>
      </c>
      <c r="B47" s="6" t="s">
        <v>137</v>
      </c>
      <c r="C47" s="6" t="s">
        <v>14</v>
      </c>
      <c r="D47" s="6" t="s">
        <v>138</v>
      </c>
    </row>
    <row r="48" spans="1:4" ht="76.5" customHeight="1">
      <c r="A48" s="6" t="s">
        <v>139</v>
      </c>
      <c r="B48" s="6" t="s">
        <v>140</v>
      </c>
      <c r="C48" s="6" t="s">
        <v>14</v>
      </c>
      <c r="D48" s="6" t="s">
        <v>141</v>
      </c>
    </row>
    <row r="49" spans="1:4" ht="76.5" customHeight="1">
      <c r="A49" s="6" t="s">
        <v>142</v>
      </c>
      <c r="B49" s="6" t="s">
        <v>143</v>
      </c>
      <c r="C49" s="6" t="s">
        <v>14</v>
      </c>
      <c r="D49" s="6" t="s">
        <v>144</v>
      </c>
    </row>
    <row r="50" spans="1:4" ht="76.5" customHeight="1">
      <c r="A50" s="6" t="s">
        <v>145</v>
      </c>
      <c r="B50" s="6" t="s">
        <v>146</v>
      </c>
      <c r="C50" s="6" t="s">
        <v>53</v>
      </c>
      <c r="D50" s="6" t="s">
        <v>147</v>
      </c>
    </row>
    <row r="51" spans="1:4" ht="61.5" customHeight="1">
      <c r="A51" s="6" t="s">
        <v>148</v>
      </c>
      <c r="B51" s="6" t="s">
        <v>149</v>
      </c>
      <c r="C51" s="6" t="s">
        <v>14</v>
      </c>
      <c r="D51" s="6" t="s">
        <v>150</v>
      </c>
    </row>
    <row r="52" spans="1:4" ht="76.5" customHeight="1">
      <c r="A52" s="6" t="s">
        <v>151</v>
      </c>
      <c r="B52" s="6" t="s">
        <v>152</v>
      </c>
      <c r="C52" s="6" t="s">
        <v>153</v>
      </c>
      <c r="D52" s="6" t="s">
        <v>154</v>
      </c>
    </row>
    <row r="53" spans="1:4" ht="76.5" customHeight="1">
      <c r="A53" s="6" t="s">
        <v>155</v>
      </c>
      <c r="B53" s="6" t="s">
        <v>156</v>
      </c>
      <c r="C53" s="6" t="s">
        <v>14</v>
      </c>
      <c r="D53" s="6" t="s">
        <v>157</v>
      </c>
    </row>
    <row r="54" spans="1:4" ht="76.5" customHeight="1">
      <c r="A54" s="6" t="s">
        <v>158</v>
      </c>
      <c r="B54" s="6" t="s">
        <v>159</v>
      </c>
      <c r="C54" s="6" t="s">
        <v>53</v>
      </c>
      <c r="D54" s="6" t="s">
        <v>160</v>
      </c>
    </row>
    <row r="55" spans="1:4" ht="61.5" customHeight="1">
      <c r="A55" s="6" t="s">
        <v>161</v>
      </c>
      <c r="B55" s="6" t="s">
        <v>162</v>
      </c>
      <c r="C55" s="6" t="s">
        <v>163</v>
      </c>
      <c r="D55" s="6" t="s">
        <v>164</v>
      </c>
    </row>
    <row r="56" spans="1:4" ht="76.5" customHeight="1">
      <c r="A56" s="6" t="s">
        <v>165</v>
      </c>
      <c r="B56" s="6" t="s">
        <v>166</v>
      </c>
      <c r="C56" s="6" t="s">
        <v>167</v>
      </c>
      <c r="D56" s="6" t="s">
        <v>168</v>
      </c>
    </row>
    <row r="57" spans="1:4" ht="61.5" customHeight="1">
      <c r="A57" s="6" t="s">
        <v>169</v>
      </c>
      <c r="B57" s="6" t="s">
        <v>170</v>
      </c>
      <c r="C57" s="6" t="s">
        <v>171</v>
      </c>
      <c r="D57" s="6" t="s">
        <v>172</v>
      </c>
    </row>
    <row r="58" spans="1:4" ht="76.5" customHeight="1">
      <c r="A58" s="6" t="s">
        <v>173</v>
      </c>
      <c r="B58" s="6" t="s">
        <v>174</v>
      </c>
      <c r="C58" s="6" t="s">
        <v>175</v>
      </c>
      <c r="D58" s="6" t="s">
        <v>176</v>
      </c>
    </row>
    <row r="59" spans="1:4" ht="76.5" customHeight="1">
      <c r="A59" s="6" t="s">
        <v>177</v>
      </c>
      <c r="B59" s="6" t="s">
        <v>178</v>
      </c>
      <c r="C59" s="6" t="s">
        <v>14</v>
      </c>
      <c r="D59" s="6" t="s">
        <v>179</v>
      </c>
    </row>
    <row r="60" spans="1:4" ht="61.5" customHeight="1">
      <c r="A60" s="6" t="s">
        <v>180</v>
      </c>
      <c r="B60" s="6" t="s">
        <v>181</v>
      </c>
      <c r="C60" s="6" t="s">
        <v>14</v>
      </c>
      <c r="D60" s="6" t="s">
        <v>182</v>
      </c>
    </row>
    <row r="61" spans="1:4" ht="61.5" customHeight="1">
      <c r="A61" s="6" t="s">
        <v>183</v>
      </c>
      <c r="B61" s="6" t="s">
        <v>184</v>
      </c>
      <c r="C61" s="6" t="s">
        <v>14</v>
      </c>
      <c r="D61" s="6" t="s">
        <v>185</v>
      </c>
    </row>
    <row r="62" spans="1:4" ht="61.5" customHeight="1">
      <c r="A62" s="6" t="s">
        <v>186</v>
      </c>
      <c r="B62" s="6" t="s">
        <v>187</v>
      </c>
      <c r="C62" s="6" t="s">
        <v>14</v>
      </c>
      <c r="D62" s="6" t="s">
        <v>188</v>
      </c>
    </row>
    <row r="63" spans="1:4" ht="61.5" customHeight="1">
      <c r="A63" s="6" t="s">
        <v>189</v>
      </c>
      <c r="B63" s="6" t="s">
        <v>190</v>
      </c>
      <c r="C63" s="6" t="s">
        <v>14</v>
      </c>
      <c r="D63" s="6" t="s">
        <v>191</v>
      </c>
    </row>
    <row r="64" spans="1:4" ht="61.5" customHeight="1">
      <c r="A64" s="6" t="s">
        <v>192</v>
      </c>
      <c r="B64" s="6" t="s">
        <v>193</v>
      </c>
      <c r="C64" s="6" t="s">
        <v>14</v>
      </c>
      <c r="D64" s="6" t="s">
        <v>194</v>
      </c>
    </row>
    <row r="65" spans="1:4" ht="76.5" customHeight="1">
      <c r="A65" s="6" t="s">
        <v>195</v>
      </c>
      <c r="B65" s="6" t="s">
        <v>196</v>
      </c>
      <c r="C65" s="6" t="s">
        <v>14</v>
      </c>
      <c r="D65" s="6" t="s">
        <v>197</v>
      </c>
    </row>
    <row r="66" spans="1:4" ht="76.5" customHeight="1">
      <c r="A66" s="6" t="s">
        <v>198</v>
      </c>
      <c r="B66" s="6" t="s">
        <v>199</v>
      </c>
      <c r="C66" s="6" t="s">
        <v>14</v>
      </c>
      <c r="D66" s="6" t="s">
        <v>200</v>
      </c>
    </row>
    <row r="67" spans="1:4" ht="76.5" customHeight="1">
      <c r="A67" s="6" t="s">
        <v>201</v>
      </c>
      <c r="B67" s="6" t="s">
        <v>202</v>
      </c>
      <c r="C67" s="6" t="s">
        <v>203</v>
      </c>
      <c r="D67" s="6" t="s">
        <v>204</v>
      </c>
    </row>
    <row r="68" spans="1:4" ht="76.5" customHeight="1">
      <c r="A68" s="6" t="s">
        <v>205</v>
      </c>
      <c r="B68" s="6" t="s">
        <v>206</v>
      </c>
      <c r="C68" s="6" t="s">
        <v>153</v>
      </c>
      <c r="D68" s="6" t="s">
        <v>207</v>
      </c>
    </row>
    <row r="69" spans="1:4" ht="61.5" customHeight="1">
      <c r="A69" s="6" t="s">
        <v>208</v>
      </c>
      <c r="B69" s="6" t="s">
        <v>209</v>
      </c>
      <c r="C69" s="6" t="s">
        <v>14</v>
      </c>
      <c r="D69" s="6" t="s">
        <v>210</v>
      </c>
    </row>
    <row r="70" spans="1:4" ht="76.5" customHeight="1">
      <c r="A70" s="6" t="s">
        <v>211</v>
      </c>
      <c r="B70" s="6" t="s">
        <v>212</v>
      </c>
      <c r="C70" s="6" t="s">
        <v>53</v>
      </c>
      <c r="D70" s="6" t="s">
        <v>213</v>
      </c>
    </row>
    <row r="71" spans="1:4" ht="91.5" customHeight="1">
      <c r="A71" s="6" t="s">
        <v>214</v>
      </c>
      <c r="B71" s="6" t="s">
        <v>215</v>
      </c>
      <c r="C71" s="6" t="s">
        <v>216</v>
      </c>
      <c r="D71" s="6" t="s">
        <v>217</v>
      </c>
    </row>
    <row r="72" spans="1:4" ht="91.5" customHeight="1">
      <c r="A72" s="6" t="s">
        <v>218</v>
      </c>
      <c r="B72" s="6" t="s">
        <v>219</v>
      </c>
      <c r="C72" s="6" t="s">
        <v>216</v>
      </c>
      <c r="D72" s="6" t="s">
        <v>217</v>
      </c>
    </row>
    <row r="73" spans="1:4" ht="32" customHeight="1">
      <c r="A73" s="5" t="s">
        <v>220</v>
      </c>
      <c r="B73" s="5"/>
      <c r="C73" s="5"/>
      <c r="D73" s="5"/>
    </row>
    <row r="74" spans="1:4" ht="76.5" customHeight="1">
      <c r="A74" s="6" t="s">
        <v>221</v>
      </c>
      <c r="B74" s="6" t="s">
        <v>222</v>
      </c>
      <c r="C74" s="6" t="s">
        <v>41</v>
      </c>
      <c r="D74" s="6" t="s">
        <v>223</v>
      </c>
    </row>
    <row r="75" spans="1:4" ht="76.5" customHeight="1">
      <c r="A75" s="6" t="s">
        <v>224</v>
      </c>
      <c r="B75" s="6" t="s">
        <v>225</v>
      </c>
      <c r="C75" s="6" t="s">
        <v>153</v>
      </c>
      <c r="D75" s="6" t="s">
        <v>226</v>
      </c>
    </row>
    <row r="76" spans="1:4" ht="76.5" customHeight="1">
      <c r="A76" s="6" t="s">
        <v>227</v>
      </c>
      <c r="B76" s="6" t="s">
        <v>228</v>
      </c>
      <c r="C76" s="6" t="s">
        <v>153</v>
      </c>
      <c r="D76" s="6" t="s">
        <v>229</v>
      </c>
    </row>
    <row r="77" spans="1:4" ht="76.5" customHeight="1">
      <c r="A77" s="6" t="s">
        <v>230</v>
      </c>
      <c r="B77" s="6" t="s">
        <v>231</v>
      </c>
      <c r="C77" s="6" t="s">
        <v>53</v>
      </c>
      <c r="D77" s="6" t="s">
        <v>232</v>
      </c>
    </row>
    <row r="78" spans="1:4" ht="76.5" customHeight="1">
      <c r="A78" s="6" t="s">
        <v>233</v>
      </c>
      <c r="B78" s="6" t="s">
        <v>234</v>
      </c>
      <c r="C78" s="6" t="s">
        <v>153</v>
      </c>
      <c r="D78" s="6" t="s">
        <v>235</v>
      </c>
    </row>
    <row r="79" spans="1:4" ht="76.5" customHeight="1">
      <c r="A79" s="6" t="s">
        <v>236</v>
      </c>
      <c r="B79" s="6" t="s">
        <v>237</v>
      </c>
      <c r="C79" s="6" t="s">
        <v>53</v>
      </c>
      <c r="D79" s="6" t="s">
        <v>238</v>
      </c>
    </row>
    <row r="80" spans="1:4" ht="91.5" customHeight="1">
      <c r="A80" s="6" t="s">
        <v>239</v>
      </c>
      <c r="B80" s="6" t="s">
        <v>240</v>
      </c>
      <c r="C80" s="6" t="s">
        <v>153</v>
      </c>
      <c r="D80" s="6" t="s">
        <v>241</v>
      </c>
    </row>
    <row r="81" spans="1:4" ht="76.5" customHeight="1">
      <c r="A81" s="6" t="s">
        <v>242</v>
      </c>
      <c r="B81" s="6" t="s">
        <v>243</v>
      </c>
      <c r="C81" s="6" t="s">
        <v>57</v>
      </c>
      <c r="D81" s="6" t="s">
        <v>244</v>
      </c>
    </row>
    <row r="82" spans="1:4" ht="91.5" customHeight="1">
      <c r="A82" s="6" t="s">
        <v>245</v>
      </c>
      <c r="B82" s="6" t="s">
        <v>246</v>
      </c>
      <c r="C82" s="6" t="s">
        <v>57</v>
      </c>
      <c r="D82" s="6" t="s">
        <v>247</v>
      </c>
    </row>
    <row r="83" spans="1:4" ht="76.5" customHeight="1">
      <c r="A83" s="6" t="s">
        <v>248</v>
      </c>
      <c r="B83" s="6" t="s">
        <v>249</v>
      </c>
      <c r="C83" s="6" t="s">
        <v>250</v>
      </c>
      <c r="D83" s="6" t="s">
        <v>251</v>
      </c>
    </row>
    <row r="84" spans="1:4" ht="76.5" customHeight="1">
      <c r="A84" s="6" t="s">
        <v>252</v>
      </c>
      <c r="B84" s="6" t="s">
        <v>253</v>
      </c>
      <c r="C84" s="6" t="s">
        <v>153</v>
      </c>
      <c r="D84" s="6" t="s">
        <v>254</v>
      </c>
    </row>
    <row r="85" spans="1:4" ht="32" customHeight="1">
      <c r="A85" s="5" t="s">
        <v>255</v>
      </c>
      <c r="B85" s="5"/>
      <c r="C85" s="5"/>
      <c r="D85" s="5"/>
    </row>
    <row r="86" spans="1:4" ht="76.5" customHeight="1">
      <c r="A86" s="6" t="s">
        <v>256</v>
      </c>
      <c r="B86" s="6" t="s">
        <v>257</v>
      </c>
      <c r="C86" s="6" t="s">
        <v>14</v>
      </c>
      <c r="D86" s="6" t="s">
        <v>258</v>
      </c>
    </row>
    <row r="87" spans="1:4" ht="76.5" customHeight="1">
      <c r="A87" s="6" t="s">
        <v>259</v>
      </c>
      <c r="B87" s="6" t="s">
        <v>260</v>
      </c>
      <c r="C87" s="6" t="s">
        <v>153</v>
      </c>
      <c r="D87" s="6" t="s">
        <v>261</v>
      </c>
    </row>
    <row r="88" spans="1:4" ht="76.5" customHeight="1">
      <c r="A88" s="6" t="s">
        <v>262</v>
      </c>
      <c r="B88" s="6" t="s">
        <v>263</v>
      </c>
      <c r="C88" s="6" t="s">
        <v>153</v>
      </c>
      <c r="D88" s="6" t="s">
        <v>264</v>
      </c>
    </row>
    <row r="89" spans="1:4" ht="76.5" customHeight="1">
      <c r="A89" s="6" t="s">
        <v>265</v>
      </c>
      <c r="B89" s="6" t="s">
        <v>266</v>
      </c>
      <c r="C89" s="6" t="s">
        <v>153</v>
      </c>
      <c r="D89" s="6" t="s">
        <v>267</v>
      </c>
    </row>
    <row r="90" spans="1:4" ht="61.5" customHeight="1">
      <c r="A90" s="6" t="s">
        <v>268</v>
      </c>
      <c r="B90" s="6" t="s">
        <v>269</v>
      </c>
      <c r="C90" s="6" t="s">
        <v>41</v>
      </c>
      <c r="D90" s="6" t="s">
        <v>270</v>
      </c>
    </row>
    <row r="91" spans="1:4" ht="76.5" customHeight="1">
      <c r="A91" s="6" t="s">
        <v>271</v>
      </c>
      <c r="B91" s="6" t="s">
        <v>272</v>
      </c>
      <c r="C91" s="6" t="s">
        <v>273</v>
      </c>
      <c r="D91" s="6" t="s">
        <v>274</v>
      </c>
    </row>
    <row r="92" spans="1:4" ht="76.5" customHeight="1">
      <c r="A92" s="6" t="s">
        <v>275</v>
      </c>
      <c r="B92" s="6" t="s">
        <v>276</v>
      </c>
      <c r="C92" s="6" t="s">
        <v>277</v>
      </c>
      <c r="D92" s="6" t="s">
        <v>278</v>
      </c>
    </row>
    <row r="93" spans="1:4" ht="32" customHeight="1">
      <c r="A93" s="5" t="s">
        <v>279</v>
      </c>
      <c r="B93" s="5"/>
      <c r="C93" s="5"/>
      <c r="D93" s="5"/>
    </row>
    <row r="94" spans="1:4" ht="76.5" customHeight="1">
      <c r="A94" s="6" t="s">
        <v>280</v>
      </c>
      <c r="B94" s="6" t="s">
        <v>281</v>
      </c>
      <c r="C94" s="6" t="s">
        <v>153</v>
      </c>
      <c r="D94" s="6" t="s">
        <v>282</v>
      </c>
    </row>
    <row r="95" spans="1:4" ht="76.5" customHeight="1">
      <c r="A95" s="6" t="s">
        <v>283</v>
      </c>
      <c r="B95" s="6" t="s">
        <v>284</v>
      </c>
      <c r="C95" s="6" t="s">
        <v>153</v>
      </c>
      <c r="D95" s="6" t="s">
        <v>285</v>
      </c>
    </row>
    <row r="96" spans="1:4" ht="76.5" customHeight="1">
      <c r="A96" s="6" t="s">
        <v>286</v>
      </c>
      <c r="B96" s="6" t="s">
        <v>287</v>
      </c>
      <c r="C96" s="6" t="s">
        <v>153</v>
      </c>
      <c r="D96" s="6" t="s">
        <v>288</v>
      </c>
    </row>
    <row r="97" spans="1:4" ht="76.5" customHeight="1">
      <c r="A97" s="6" t="s">
        <v>289</v>
      </c>
      <c r="B97" s="6" t="s">
        <v>290</v>
      </c>
      <c r="C97" s="6" t="s">
        <v>277</v>
      </c>
      <c r="D97" s="6" t="s">
        <v>291</v>
      </c>
    </row>
    <row r="98" spans="1:4" ht="76.5" customHeight="1">
      <c r="A98" s="6" t="s">
        <v>292</v>
      </c>
      <c r="B98" s="6" t="s">
        <v>293</v>
      </c>
      <c r="C98" s="6" t="s">
        <v>294</v>
      </c>
      <c r="D98" s="6" t="s">
        <v>295</v>
      </c>
    </row>
    <row r="99" spans="1:4" ht="76.5" customHeight="1">
      <c r="A99" s="6" t="s">
        <v>296</v>
      </c>
      <c r="B99" s="6" t="s">
        <v>297</v>
      </c>
      <c r="C99" s="6" t="s">
        <v>49</v>
      </c>
      <c r="D99" s="6" t="s">
        <v>298</v>
      </c>
    </row>
    <row r="100" spans="1:4">
      <c r="A100" s="1"/>
      <c r="B100" s="1"/>
      <c r="C100" s="1"/>
      <c r="D100" s="1"/>
    </row>
    <row r="101" spans="1:4">
      <c r="A101" s="1"/>
      <c r="B101" s="1"/>
      <c r="C101" s="1"/>
      <c r="D101" s="1"/>
    </row>
    <row r="102" spans="1:4">
      <c r="A102" s="1"/>
      <c r="B102" s="1"/>
      <c r="C102" s="1"/>
      <c r="D102" s="1"/>
    </row>
    <row r="103" spans="1:4">
      <c r="A103" s="1"/>
      <c r="B103" s="1"/>
      <c r="C103" s="1"/>
      <c r="D103" s="1"/>
    </row>
    <row r="104" spans="1:4">
      <c r="A104" s="1"/>
      <c r="B104" s="1"/>
      <c r="C104" s="1"/>
      <c r="D104" s="1"/>
    </row>
    <row r="105" spans="1:4">
      <c r="A105" s="1"/>
      <c r="B105" s="1"/>
      <c r="C105" s="1"/>
      <c r="D105" s="1"/>
    </row>
    <row r="106" spans="1:4">
      <c r="A106" s="1"/>
      <c r="B106" s="1"/>
      <c r="C106" s="1"/>
      <c r="D106" s="1"/>
    </row>
    <row r="107" spans="1:4">
      <c r="A107" s="1"/>
      <c r="B107" s="1"/>
      <c r="C107" s="1"/>
      <c r="D107" s="1"/>
    </row>
    <row r="108" spans="1:4">
      <c r="A108" s="1"/>
      <c r="B108" s="1"/>
      <c r="C108" s="1"/>
      <c r="D108" s="1"/>
    </row>
    <row r="109" spans="1:4">
      <c r="A109" s="1"/>
      <c r="B109" s="1"/>
      <c r="C109" s="1"/>
      <c r="D109" s="1"/>
    </row>
    <row r="110" spans="1:4">
      <c r="A110" s="1"/>
      <c r="B110" s="1"/>
      <c r="C110" s="1"/>
      <c r="D110" s="1"/>
    </row>
    <row r="111" spans="1:4">
      <c r="A111" s="1"/>
      <c r="B111" s="1"/>
      <c r="C111" s="1"/>
      <c r="D111" s="1"/>
    </row>
    <row r="112" spans="1:4">
      <c r="A112" s="1"/>
      <c r="B112" s="1"/>
      <c r="C112" s="1"/>
      <c r="D112" s="1"/>
    </row>
    <row r="113" spans="1:4">
      <c r="A113" s="1"/>
      <c r="B113" s="1"/>
      <c r="C113" s="1"/>
      <c r="D113" s="1"/>
    </row>
    <row r="114" spans="1:4">
      <c r="A114" s="1"/>
      <c r="B114" s="1"/>
      <c r="C114" s="1"/>
      <c r="D114" s="1"/>
    </row>
    <row r="115" spans="1:4">
      <c r="A115" s="1"/>
      <c r="B115" s="1"/>
      <c r="C115" s="1"/>
      <c r="D115"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25"/>
  <sheetViews>
    <sheetView showGridLines="0" workbookViewId="0">
      <pane xSplit="1" ySplit="6" topLeftCell="B7" activePane="bottomRight" state="frozen"/>
      <selection pane="topRight"/>
      <selection pane="bottomLeft"/>
      <selection pane="bottomRight" activeCell="B7" sqref="B7"/>
    </sheetView>
  </sheetViews>
  <sheetFormatPr baseColWidth="10" defaultColWidth="8.83203125" defaultRowHeight="14"/>
  <cols>
    <col min="1" max="1" width="31.1640625" customWidth="1"/>
    <col min="2" max="2" width="12.83203125" customWidth="1"/>
    <col min="3" max="3" width="11.6640625" customWidth="1"/>
    <col min="4" max="4" width="13.33203125" customWidth="1"/>
    <col min="5" max="5" width="12.1640625" customWidth="1"/>
    <col min="6" max="6" width="13.83203125" customWidth="1"/>
    <col min="7" max="8" width="12.1640625" customWidth="1"/>
    <col min="9" max="9" width="12.83203125" customWidth="1"/>
  </cols>
  <sheetData>
    <row r="1" spans="1:9">
      <c r="A1" s="1"/>
      <c r="B1" s="1"/>
      <c r="C1" s="1"/>
      <c r="D1" s="1"/>
      <c r="E1" s="1"/>
      <c r="F1" s="1"/>
      <c r="G1" s="1"/>
      <c r="H1" s="1"/>
      <c r="I1" s="1"/>
    </row>
    <row r="2" spans="1:9" ht="29" customHeight="1">
      <c r="A2" s="2" t="s">
        <v>299</v>
      </c>
      <c r="B2" s="2"/>
      <c r="C2" s="2"/>
      <c r="D2" s="2"/>
      <c r="E2" s="2"/>
      <c r="F2" s="2"/>
      <c r="G2" s="2"/>
      <c r="H2" s="2"/>
      <c r="I2" s="2"/>
    </row>
    <row r="3" spans="1:9">
      <c r="A3" s="1" t="s">
        <v>300</v>
      </c>
      <c r="B3" s="7">
        <v>35152</v>
      </c>
      <c r="C3" s="1" t="s">
        <v>301</v>
      </c>
      <c r="D3" s="7">
        <v>1282</v>
      </c>
      <c r="E3" s="1" t="s">
        <v>302</v>
      </c>
      <c r="F3" s="7">
        <v>33733</v>
      </c>
      <c r="G3" s="1" t="s">
        <v>303</v>
      </c>
      <c r="H3" s="7">
        <v>530</v>
      </c>
      <c r="I3" s="1"/>
    </row>
    <row r="4" spans="1:9" ht="25" customHeight="1">
      <c r="A4" s="3" t="s">
        <v>304</v>
      </c>
      <c r="B4" s="3"/>
      <c r="C4" s="3"/>
      <c r="D4" s="3"/>
      <c r="E4" s="3"/>
      <c r="F4" s="3"/>
      <c r="G4" s="3"/>
      <c r="H4" s="3"/>
      <c r="I4" s="3"/>
    </row>
    <row r="5" spans="1:9">
      <c r="A5" s="1"/>
      <c r="B5" s="1"/>
      <c r="C5" s="1"/>
      <c r="D5" s="1"/>
      <c r="E5" s="1"/>
      <c r="F5" s="1"/>
      <c r="G5" s="1"/>
      <c r="H5" s="1"/>
      <c r="I5" s="1"/>
    </row>
    <row r="6" spans="1:9" ht="30" customHeight="1">
      <c r="A6" s="4" t="s">
        <v>305</v>
      </c>
      <c r="B6" s="4" t="s">
        <v>306</v>
      </c>
      <c r="C6" s="4" t="s">
        <v>307</v>
      </c>
      <c r="D6" s="4" t="s">
        <v>308</v>
      </c>
      <c r="E6" s="4" t="s">
        <v>309</v>
      </c>
      <c r="F6" s="4" t="s">
        <v>310</v>
      </c>
      <c r="G6" s="4" t="s">
        <v>311</v>
      </c>
      <c r="H6" s="4" t="s">
        <v>312</v>
      </c>
      <c r="I6" s="4" t="s">
        <v>313</v>
      </c>
    </row>
    <row r="7" spans="1:9" ht="31.5" customHeight="1">
      <c r="A7" s="6" t="s">
        <v>314</v>
      </c>
      <c r="B7" s="11">
        <v>5737</v>
      </c>
      <c r="C7" s="12">
        <f t="shared" ref="C7:C29" si="0">B7/$B$3</f>
        <v>0.16320550751024124</v>
      </c>
      <c r="D7" s="11">
        <v>26</v>
      </c>
      <c r="E7" s="12">
        <f t="shared" ref="E7:E29" si="1">D7/$D$3</f>
        <v>2.0280811232449299E-2</v>
      </c>
      <c r="F7" s="11">
        <v>5579</v>
      </c>
      <c r="G7" s="12">
        <f t="shared" ref="G7:G29" si="2">F7/$F$3</f>
        <v>0.16538700975306081</v>
      </c>
      <c r="H7" s="11">
        <v>3</v>
      </c>
      <c r="I7" s="11">
        <v>6351</v>
      </c>
    </row>
    <row r="8" spans="1:9" ht="31.5" customHeight="1">
      <c r="A8" s="8" t="s">
        <v>315</v>
      </c>
      <c r="B8" s="13">
        <v>4130</v>
      </c>
      <c r="C8" s="14">
        <f t="shared" si="0"/>
        <v>0.11748975876194812</v>
      </c>
      <c r="D8" s="13">
        <v>38</v>
      </c>
      <c r="E8" s="14">
        <f t="shared" si="1"/>
        <v>2.9641185647425898E-2</v>
      </c>
      <c r="F8" s="13">
        <v>4022</v>
      </c>
      <c r="G8" s="14">
        <f t="shared" si="2"/>
        <v>0.11923042717813417</v>
      </c>
      <c r="H8" s="13">
        <v>8</v>
      </c>
      <c r="I8" s="13">
        <v>4513</v>
      </c>
    </row>
    <row r="9" spans="1:9" ht="31.5" customHeight="1">
      <c r="A9" s="6" t="s">
        <v>316</v>
      </c>
      <c r="B9" s="11">
        <v>3231</v>
      </c>
      <c r="C9" s="12">
        <f t="shared" si="0"/>
        <v>9.1915111515703238E-2</v>
      </c>
      <c r="D9" s="11">
        <v>61</v>
      </c>
      <c r="E9" s="12">
        <f t="shared" si="1"/>
        <v>4.7581903276131043E-2</v>
      </c>
      <c r="F9" s="11">
        <v>3161</v>
      </c>
      <c r="G9" s="12">
        <f t="shared" si="2"/>
        <v>9.3706459549995555E-2</v>
      </c>
      <c r="H9" s="11">
        <v>9</v>
      </c>
      <c r="I9" s="11">
        <v>3394</v>
      </c>
    </row>
    <row r="10" spans="1:9" ht="31.5" customHeight="1">
      <c r="A10" s="8" t="s">
        <v>317</v>
      </c>
      <c r="B10" s="13">
        <v>6308</v>
      </c>
      <c r="C10" s="14">
        <f t="shared" si="0"/>
        <v>0.17944924897587619</v>
      </c>
      <c r="D10" s="13">
        <v>502</v>
      </c>
      <c r="E10" s="14">
        <f t="shared" si="1"/>
        <v>0.39157566302652108</v>
      </c>
      <c r="F10" s="13">
        <v>6094</v>
      </c>
      <c r="G10" s="14">
        <f t="shared" si="2"/>
        <v>0.18065395903121573</v>
      </c>
      <c r="H10" s="13">
        <v>28</v>
      </c>
      <c r="I10" s="13">
        <v>7611</v>
      </c>
    </row>
    <row r="11" spans="1:9" ht="31.5" customHeight="1">
      <c r="A11" s="6" t="s">
        <v>318</v>
      </c>
      <c r="B11" s="11">
        <v>2384</v>
      </c>
      <c r="C11" s="12">
        <f t="shared" si="0"/>
        <v>6.7819754210286756E-2</v>
      </c>
      <c r="D11" s="11">
        <v>206</v>
      </c>
      <c r="E11" s="12">
        <f t="shared" si="1"/>
        <v>0.1606864274570983</v>
      </c>
      <c r="F11" s="11">
        <v>2315</v>
      </c>
      <c r="G11" s="12">
        <f t="shared" si="2"/>
        <v>6.8627160347434268E-2</v>
      </c>
      <c r="H11" s="11">
        <v>4</v>
      </c>
      <c r="I11" s="11">
        <v>2651</v>
      </c>
    </row>
    <row r="12" spans="1:9" ht="31.5" customHeight="1">
      <c r="A12" s="8" t="s">
        <v>319</v>
      </c>
      <c r="B12" s="13">
        <v>2676</v>
      </c>
      <c r="C12" s="14">
        <f t="shared" si="0"/>
        <v>7.6126536185707777E-2</v>
      </c>
      <c r="D12" s="13">
        <v>139</v>
      </c>
      <c r="E12" s="14">
        <f t="shared" si="1"/>
        <v>0.10842433697347893</v>
      </c>
      <c r="F12" s="13">
        <v>2580</v>
      </c>
      <c r="G12" s="14">
        <f t="shared" si="2"/>
        <v>7.6482969199300394E-2</v>
      </c>
      <c r="H12" s="13">
        <v>9</v>
      </c>
      <c r="I12" s="13">
        <v>3067</v>
      </c>
    </row>
    <row r="13" spans="1:9" ht="31.5" customHeight="1">
      <c r="A13" s="6" t="s">
        <v>320</v>
      </c>
      <c r="B13" s="11">
        <v>2651</v>
      </c>
      <c r="C13" s="12">
        <f t="shared" si="0"/>
        <v>7.5415339098771045E-2</v>
      </c>
      <c r="D13" s="11">
        <v>39</v>
      </c>
      <c r="E13" s="12">
        <f t="shared" si="1"/>
        <v>3.0421216848673948E-2</v>
      </c>
      <c r="F13" s="11">
        <v>2590</v>
      </c>
      <c r="G13" s="12">
        <f t="shared" si="2"/>
        <v>7.6779414816351935E-2</v>
      </c>
      <c r="H13" s="11">
        <v>11</v>
      </c>
      <c r="I13" s="11">
        <v>2943</v>
      </c>
    </row>
    <row r="14" spans="1:9" ht="31.5" customHeight="1">
      <c r="A14" s="8" t="s">
        <v>321</v>
      </c>
      <c r="B14" s="13">
        <v>1811</v>
      </c>
      <c r="C14" s="14">
        <f t="shared" si="0"/>
        <v>5.1519116977696858E-2</v>
      </c>
      <c r="D14" s="13">
        <v>22</v>
      </c>
      <c r="E14" s="14">
        <f t="shared" si="1"/>
        <v>1.7160686427457099E-2</v>
      </c>
      <c r="F14" s="13">
        <v>1780</v>
      </c>
      <c r="G14" s="14">
        <f t="shared" si="2"/>
        <v>5.2767319835176234E-2</v>
      </c>
      <c r="H14" s="13">
        <v>11</v>
      </c>
      <c r="I14" s="13">
        <v>1940</v>
      </c>
    </row>
    <row r="15" spans="1:9" ht="31.5" customHeight="1">
      <c r="A15" s="6" t="s">
        <v>322</v>
      </c>
      <c r="B15" s="11">
        <v>1092</v>
      </c>
      <c r="C15" s="12">
        <f t="shared" si="0"/>
        <v>3.1065088757396449E-2</v>
      </c>
      <c r="D15" s="11">
        <v>0</v>
      </c>
      <c r="E15" s="12">
        <f t="shared" si="1"/>
        <v>0</v>
      </c>
      <c r="F15" s="11">
        <v>1061</v>
      </c>
      <c r="G15" s="12">
        <f t="shared" si="2"/>
        <v>3.1452879969169657E-2</v>
      </c>
      <c r="H15" s="11">
        <v>6</v>
      </c>
      <c r="I15" s="11">
        <v>1195</v>
      </c>
    </row>
    <row r="16" spans="1:9" ht="31.5" customHeight="1">
      <c r="A16" s="8" t="s">
        <v>323</v>
      </c>
      <c r="B16" s="13">
        <v>1980</v>
      </c>
      <c r="C16" s="14">
        <f t="shared" si="0"/>
        <v>5.6326809285389169E-2</v>
      </c>
      <c r="D16" s="13">
        <v>57</v>
      </c>
      <c r="E16" s="14">
        <f t="shared" si="1"/>
        <v>4.4461778471138844E-2</v>
      </c>
      <c r="F16" s="13">
        <v>1932</v>
      </c>
      <c r="G16" s="14">
        <f t="shared" si="2"/>
        <v>5.7273293214359824E-2</v>
      </c>
      <c r="H16" s="13">
        <v>12</v>
      </c>
      <c r="I16" s="13">
        <v>2107</v>
      </c>
    </row>
    <row r="17" spans="1:9" ht="31.5" customHeight="1">
      <c r="A17" s="6" t="s">
        <v>324</v>
      </c>
      <c r="B17" s="11">
        <v>1028</v>
      </c>
      <c r="C17" s="12">
        <f t="shared" si="0"/>
        <v>2.9244424214838416E-2</v>
      </c>
      <c r="D17" s="11">
        <v>129</v>
      </c>
      <c r="E17" s="12">
        <f t="shared" si="1"/>
        <v>0.10062402496099844</v>
      </c>
      <c r="F17" s="11">
        <v>1003</v>
      </c>
      <c r="G17" s="12">
        <f t="shared" si="2"/>
        <v>2.9733495390270655E-2</v>
      </c>
      <c r="H17" s="11">
        <v>15</v>
      </c>
      <c r="I17" s="11">
        <v>1103</v>
      </c>
    </row>
    <row r="18" spans="1:9" ht="31.5" customHeight="1">
      <c r="A18" s="8" t="s">
        <v>325</v>
      </c>
      <c r="B18" s="13">
        <v>2821</v>
      </c>
      <c r="C18" s="14">
        <f t="shared" si="0"/>
        <v>8.0251479289940822E-2</v>
      </c>
      <c r="D18" s="13">
        <v>79</v>
      </c>
      <c r="E18" s="14">
        <f t="shared" si="1"/>
        <v>6.1622464898595943E-2</v>
      </c>
      <c r="F18" s="13">
        <v>2744</v>
      </c>
      <c r="G18" s="14">
        <f t="shared" si="2"/>
        <v>8.1344677318945846E-2</v>
      </c>
      <c r="H18" s="13">
        <v>17</v>
      </c>
      <c r="I18" s="13">
        <v>3166</v>
      </c>
    </row>
    <row r="19" spans="1:9" ht="31.5" customHeight="1">
      <c r="A19" s="6" t="s">
        <v>326</v>
      </c>
      <c r="B19" s="11">
        <v>1474</v>
      </c>
      <c r="C19" s="12">
        <f t="shared" si="0"/>
        <v>4.1932180245789714E-2</v>
      </c>
      <c r="D19" s="11">
        <v>37</v>
      </c>
      <c r="E19" s="12">
        <f t="shared" si="1"/>
        <v>2.8861154446177848E-2</v>
      </c>
      <c r="F19" s="11">
        <v>1414</v>
      </c>
      <c r="G19" s="12">
        <f t="shared" si="2"/>
        <v>4.1917410251089436E-2</v>
      </c>
      <c r="H19" s="11">
        <v>8</v>
      </c>
      <c r="I19" s="11">
        <v>1616</v>
      </c>
    </row>
    <row r="20" spans="1:9" ht="31.5" customHeight="1">
      <c r="A20" s="8" t="s">
        <v>327</v>
      </c>
      <c r="B20" s="13">
        <v>1231</v>
      </c>
      <c r="C20" s="14">
        <f t="shared" si="0"/>
        <v>3.5019344560764679E-2</v>
      </c>
      <c r="D20" s="13">
        <v>11</v>
      </c>
      <c r="E20" s="14">
        <f t="shared" si="1"/>
        <v>8.5803432137285494E-3</v>
      </c>
      <c r="F20" s="13">
        <v>1194</v>
      </c>
      <c r="G20" s="14">
        <f t="shared" si="2"/>
        <v>3.5395606675955295E-2</v>
      </c>
      <c r="H20" s="13">
        <v>8</v>
      </c>
      <c r="I20" s="13">
        <v>1338</v>
      </c>
    </row>
    <row r="21" spans="1:9" ht="31.5" customHeight="1">
      <c r="A21" s="6" t="s">
        <v>328</v>
      </c>
      <c r="B21" s="11">
        <v>922</v>
      </c>
      <c r="C21" s="12">
        <f t="shared" si="0"/>
        <v>2.6228948566226672E-2</v>
      </c>
      <c r="D21" s="11">
        <v>19</v>
      </c>
      <c r="E21" s="12">
        <f t="shared" si="1"/>
        <v>1.4820592823712949E-2</v>
      </c>
      <c r="F21" s="11">
        <v>901</v>
      </c>
      <c r="G21" s="12">
        <f t="shared" si="2"/>
        <v>2.6709750096344825E-2</v>
      </c>
      <c r="H21" s="11">
        <v>11</v>
      </c>
      <c r="I21" s="11">
        <v>996</v>
      </c>
    </row>
    <row r="22" spans="1:9" ht="31.5" customHeight="1">
      <c r="A22" s="8" t="s">
        <v>329</v>
      </c>
      <c r="B22" s="13">
        <v>1425</v>
      </c>
      <c r="C22" s="14">
        <f t="shared" si="0"/>
        <v>4.0538233955393715E-2</v>
      </c>
      <c r="D22" s="13">
        <v>91</v>
      </c>
      <c r="E22" s="14">
        <f t="shared" si="1"/>
        <v>7.0982839313572549E-2</v>
      </c>
      <c r="F22" s="13">
        <v>1353</v>
      </c>
      <c r="G22" s="14">
        <f t="shared" si="2"/>
        <v>4.010909198707497E-2</v>
      </c>
      <c r="H22" s="13">
        <v>10</v>
      </c>
      <c r="I22" s="13">
        <v>1525</v>
      </c>
    </row>
    <row r="23" spans="1:9" ht="31.5" customHeight="1">
      <c r="A23" s="6" t="s">
        <v>330</v>
      </c>
      <c r="B23" s="11">
        <v>61</v>
      </c>
      <c r="C23" s="12">
        <f t="shared" si="0"/>
        <v>1.7353208921256258E-3</v>
      </c>
      <c r="D23" s="11">
        <v>0</v>
      </c>
      <c r="E23" s="12">
        <f t="shared" si="1"/>
        <v>0</v>
      </c>
      <c r="F23" s="11">
        <v>59</v>
      </c>
      <c r="G23" s="12">
        <f t="shared" si="2"/>
        <v>1.7490291406041562E-3</v>
      </c>
      <c r="H23" s="11">
        <v>2</v>
      </c>
      <c r="I23" s="11">
        <v>66</v>
      </c>
    </row>
    <row r="24" spans="1:9" ht="31.5" customHeight="1">
      <c r="A24" s="8" t="s">
        <v>331</v>
      </c>
      <c r="B24" s="13">
        <v>949</v>
      </c>
      <c r="C24" s="14">
        <f t="shared" si="0"/>
        <v>2.6997041420118342E-2</v>
      </c>
      <c r="D24" s="13">
        <v>58</v>
      </c>
      <c r="E24" s="14">
        <f t="shared" si="1"/>
        <v>4.5241809672386897E-2</v>
      </c>
      <c r="F24" s="13">
        <v>917</v>
      </c>
      <c r="G24" s="14">
        <f t="shared" si="2"/>
        <v>2.7184063083627308E-2</v>
      </c>
      <c r="H24" s="13">
        <v>21</v>
      </c>
      <c r="I24" s="13">
        <v>1479</v>
      </c>
    </row>
    <row r="25" spans="1:9" ht="31.5" customHeight="1">
      <c r="A25" s="6" t="s">
        <v>332</v>
      </c>
      <c r="B25" s="11">
        <v>969</v>
      </c>
      <c r="C25" s="12">
        <f t="shared" si="0"/>
        <v>2.7565999089667729E-2</v>
      </c>
      <c r="D25" s="11">
        <v>28</v>
      </c>
      <c r="E25" s="12">
        <f t="shared" si="1"/>
        <v>2.1840873634945399E-2</v>
      </c>
      <c r="F25" s="11">
        <v>953</v>
      </c>
      <c r="G25" s="12">
        <f t="shared" si="2"/>
        <v>2.8251267305012897E-2</v>
      </c>
      <c r="H25" s="11">
        <v>5</v>
      </c>
      <c r="I25" s="11">
        <v>1031</v>
      </c>
    </row>
    <row r="26" spans="1:9" ht="31.5" customHeight="1">
      <c r="A26" s="8" t="s">
        <v>333</v>
      </c>
      <c r="B26" s="13">
        <v>822</v>
      </c>
      <c r="C26" s="14">
        <f t="shared" si="0"/>
        <v>2.3384160218479746E-2</v>
      </c>
      <c r="D26" s="13">
        <v>16</v>
      </c>
      <c r="E26" s="14">
        <f t="shared" si="1"/>
        <v>1.2480499219968799E-2</v>
      </c>
      <c r="F26" s="13">
        <v>795</v>
      </c>
      <c r="G26" s="14">
        <f t="shared" si="2"/>
        <v>2.3567426555598375E-2</v>
      </c>
      <c r="H26" s="13">
        <v>14</v>
      </c>
      <c r="I26" s="13">
        <v>879</v>
      </c>
    </row>
    <row r="27" spans="1:9" ht="31.5" customHeight="1">
      <c r="A27" s="6" t="s">
        <v>334</v>
      </c>
      <c r="B27" s="11">
        <v>282</v>
      </c>
      <c r="C27" s="12">
        <f t="shared" si="0"/>
        <v>8.0223031406463363E-3</v>
      </c>
      <c r="D27" s="11">
        <v>5</v>
      </c>
      <c r="E27" s="12">
        <f t="shared" si="1"/>
        <v>3.9001560062402497E-3</v>
      </c>
      <c r="F27" s="11">
        <v>279</v>
      </c>
      <c r="G27" s="12">
        <f t="shared" si="2"/>
        <v>8.2708327157382973E-3</v>
      </c>
      <c r="H27" s="11">
        <v>3</v>
      </c>
      <c r="I27" s="11">
        <v>315</v>
      </c>
    </row>
    <row r="28" spans="1:9" ht="31.5" customHeight="1">
      <c r="A28" s="8" t="s">
        <v>335</v>
      </c>
      <c r="B28" s="13">
        <v>288</v>
      </c>
      <c r="C28" s="14">
        <f t="shared" si="0"/>
        <v>8.1929904415111512E-3</v>
      </c>
      <c r="D28" s="13">
        <v>86</v>
      </c>
      <c r="E28" s="14">
        <f t="shared" si="1"/>
        <v>6.7082683307332289E-2</v>
      </c>
      <c r="F28" s="13">
        <v>283</v>
      </c>
      <c r="G28" s="14">
        <f t="shared" si="2"/>
        <v>8.3894109625589179E-3</v>
      </c>
      <c r="H28" s="13">
        <v>3</v>
      </c>
      <c r="I28" s="13">
        <v>309</v>
      </c>
    </row>
    <row r="29" spans="1:9" ht="31.5" customHeight="1">
      <c r="A29" s="6" t="s">
        <v>336</v>
      </c>
      <c r="B29" s="11">
        <v>2559</v>
      </c>
      <c r="C29" s="12">
        <f t="shared" si="0"/>
        <v>7.2798133818843883E-2</v>
      </c>
      <c r="D29" s="11">
        <v>37</v>
      </c>
      <c r="E29" s="12">
        <f t="shared" si="1"/>
        <v>2.8861154446177848E-2</v>
      </c>
      <c r="F29" s="11">
        <v>2505</v>
      </c>
      <c r="G29" s="12">
        <f t="shared" si="2"/>
        <v>7.4259627071413745E-2</v>
      </c>
      <c r="H29" s="11">
        <v>21</v>
      </c>
      <c r="I29" s="11">
        <v>2825</v>
      </c>
    </row>
    <row r="30" spans="1:9">
      <c r="A30" s="1"/>
      <c r="B30" s="1"/>
      <c r="C30" s="1"/>
      <c r="D30" s="1"/>
      <c r="E30" s="1"/>
      <c r="F30" s="1"/>
      <c r="G30" s="1"/>
      <c r="H30" s="1"/>
      <c r="I30" s="1"/>
    </row>
    <row r="31" spans="1:9">
      <c r="A31" s="1"/>
      <c r="B31" s="1"/>
      <c r="C31" s="1"/>
      <c r="D31" s="1"/>
      <c r="E31" s="1"/>
      <c r="F31" s="1"/>
      <c r="G31" s="1"/>
      <c r="H31" s="1"/>
      <c r="I31" s="1"/>
    </row>
    <row r="32" spans="1:9">
      <c r="A32" s="1" t="s">
        <v>337</v>
      </c>
      <c r="B32" s="1"/>
      <c r="C32" s="1"/>
      <c r="D32" s="1"/>
      <c r="E32" s="1"/>
      <c r="F32" s="1"/>
      <c r="G32" s="1"/>
      <c r="H32" s="1"/>
      <c r="I32" s="1"/>
    </row>
    <row r="33" spans="1:9">
      <c r="A33" s="1"/>
      <c r="B33" s="1"/>
      <c r="C33" s="1"/>
      <c r="D33" s="1"/>
      <c r="E33" s="1"/>
      <c r="F33" s="1"/>
      <c r="G33" s="1"/>
      <c r="H33" s="1"/>
      <c r="I33" s="1"/>
    </row>
    <row r="34" spans="1:9" ht="30" customHeight="1">
      <c r="A34" s="4" t="s">
        <v>338</v>
      </c>
      <c r="B34" s="4" t="s">
        <v>339</v>
      </c>
      <c r="C34" s="4" t="s">
        <v>340</v>
      </c>
      <c r="D34" s="1"/>
      <c r="E34" s="1"/>
      <c r="F34" s="1"/>
      <c r="G34" s="1"/>
      <c r="H34" s="1"/>
      <c r="I34" s="1"/>
    </row>
    <row r="35" spans="1:9">
      <c r="A35" s="1">
        <v>5</v>
      </c>
      <c r="B35" s="7">
        <v>29299</v>
      </c>
      <c r="C35" s="15">
        <f>B35/$B$3</f>
        <v>0.8334945380063723</v>
      </c>
      <c r="D35" s="1"/>
      <c r="E35" s="1"/>
      <c r="F35" s="1"/>
      <c r="G35" s="1"/>
      <c r="H35" s="1"/>
      <c r="I35" s="1"/>
    </row>
    <row r="36" spans="1:9">
      <c r="A36" s="1">
        <v>4</v>
      </c>
      <c r="B36" s="7">
        <v>2936</v>
      </c>
      <c r="C36" s="15">
        <f>B36/$B$3</f>
        <v>8.3522985889849799E-2</v>
      </c>
      <c r="D36" s="1"/>
      <c r="E36" s="1"/>
      <c r="F36" s="1"/>
      <c r="G36" s="1"/>
      <c r="H36" s="1"/>
      <c r="I36" s="1"/>
    </row>
    <row r="37" spans="1:9">
      <c r="A37" s="1">
        <v>3</v>
      </c>
      <c r="B37" s="7">
        <v>1635</v>
      </c>
      <c r="C37" s="15">
        <f>B37/$B$3</f>
        <v>4.6512289485662266E-2</v>
      </c>
      <c r="D37" s="1"/>
      <c r="E37" s="1"/>
      <c r="F37" s="1"/>
      <c r="G37" s="1"/>
      <c r="H37" s="1"/>
      <c r="I37" s="1"/>
    </row>
    <row r="38" spans="1:9">
      <c r="A38" s="1">
        <v>2</v>
      </c>
      <c r="B38" s="7">
        <v>603</v>
      </c>
      <c r="C38" s="15">
        <f>B38/$B$3</f>
        <v>1.7154073736913973E-2</v>
      </c>
      <c r="D38" s="1"/>
      <c r="E38" s="1"/>
      <c r="F38" s="1"/>
      <c r="G38" s="1"/>
      <c r="H38" s="1"/>
      <c r="I38" s="1"/>
    </row>
    <row r="39" spans="1:9">
      <c r="A39" s="1">
        <v>1</v>
      </c>
      <c r="B39" s="7">
        <v>679</v>
      </c>
      <c r="C39" s="15">
        <f>B39/$B$3</f>
        <v>1.9316112881201639E-2</v>
      </c>
      <c r="D39" s="1"/>
      <c r="E39" s="1"/>
      <c r="F39" s="1"/>
      <c r="G39" s="1"/>
      <c r="H39" s="1"/>
      <c r="I39" s="1"/>
    </row>
    <row r="40" spans="1:9">
      <c r="A40" s="1"/>
      <c r="B40" s="1"/>
      <c r="C40" s="1"/>
      <c r="D40" s="1"/>
      <c r="E40" s="1"/>
      <c r="F40" s="1"/>
      <c r="G40" s="1"/>
      <c r="H40" s="1"/>
      <c r="I40" s="1"/>
    </row>
    <row r="41" spans="1:9">
      <c r="A41" s="1"/>
      <c r="B41" s="1"/>
      <c r="C41" s="1"/>
      <c r="D41" s="1"/>
      <c r="E41" s="1"/>
      <c r="F41" s="1"/>
      <c r="G41" s="1"/>
      <c r="H41" s="1"/>
      <c r="I41" s="1"/>
    </row>
    <row r="42" spans="1:9">
      <c r="A42" s="1" t="s">
        <v>341</v>
      </c>
      <c r="B42" s="1"/>
      <c r="C42" s="1"/>
      <c r="D42" s="1"/>
      <c r="E42" s="1"/>
      <c r="F42" s="1"/>
      <c r="G42" s="1"/>
      <c r="H42" s="1"/>
      <c r="I42" s="1"/>
    </row>
    <row r="43" spans="1:9">
      <c r="A43" s="1" t="s">
        <v>342</v>
      </c>
      <c r="B43" s="1"/>
      <c r="C43" s="1"/>
      <c r="D43" s="1"/>
      <c r="E43" s="1"/>
      <c r="F43" s="1"/>
      <c r="G43" s="1"/>
      <c r="H43" s="1"/>
      <c r="I43" s="1"/>
    </row>
    <row r="44" spans="1:9">
      <c r="A44" s="1"/>
      <c r="B44" s="1"/>
      <c r="C44" s="1"/>
      <c r="D44" s="1"/>
      <c r="E44" s="1"/>
      <c r="F44" s="1"/>
      <c r="G44" s="1"/>
      <c r="H44" s="1"/>
      <c r="I44" s="1"/>
    </row>
    <row r="45" spans="1:9" ht="30" customHeight="1">
      <c r="A45" s="4" t="s">
        <v>343</v>
      </c>
      <c r="B45" s="4" t="s">
        <v>344</v>
      </c>
      <c r="C45" s="4" t="s">
        <v>345</v>
      </c>
      <c r="D45" s="4" t="s">
        <v>346</v>
      </c>
      <c r="E45" s="1"/>
      <c r="F45" s="1"/>
      <c r="G45" s="1"/>
      <c r="H45" s="1"/>
      <c r="I45" s="1"/>
    </row>
    <row r="46" spans="1:9" ht="46.5" customHeight="1">
      <c r="A46" s="6" t="s">
        <v>347</v>
      </c>
      <c r="B46" s="9">
        <v>25934</v>
      </c>
      <c r="C46" s="16">
        <v>4.6742500192797101</v>
      </c>
      <c r="D46" s="6">
        <v>958</v>
      </c>
      <c r="E46" s="1"/>
      <c r="F46" s="1"/>
      <c r="G46" s="1"/>
      <c r="H46" s="1"/>
      <c r="I46" s="1"/>
    </row>
    <row r="47" spans="1:9" ht="46.5" customHeight="1">
      <c r="A47" s="8" t="s">
        <v>348</v>
      </c>
      <c r="B47" s="10">
        <v>3789</v>
      </c>
      <c r="C47" s="17">
        <v>4.8131433095803642</v>
      </c>
      <c r="D47" s="8">
        <v>84</v>
      </c>
      <c r="E47" s="1"/>
      <c r="F47" s="1"/>
      <c r="G47" s="1"/>
      <c r="H47" s="1"/>
      <c r="I47" s="1"/>
    </row>
    <row r="48" spans="1:9" ht="46.5" customHeight="1">
      <c r="A48" s="6" t="s">
        <v>349</v>
      </c>
      <c r="B48" s="9">
        <v>1752</v>
      </c>
      <c r="C48" s="16">
        <v>4.756849315068493</v>
      </c>
      <c r="D48" s="6">
        <v>61</v>
      </c>
      <c r="E48" s="1"/>
      <c r="F48" s="1"/>
      <c r="G48" s="1"/>
      <c r="H48" s="1"/>
      <c r="I48" s="1"/>
    </row>
    <row r="49" spans="1:9" ht="46.5" customHeight="1">
      <c r="A49" s="8" t="s">
        <v>350</v>
      </c>
      <c r="B49" s="10">
        <v>1590</v>
      </c>
      <c r="C49" s="17">
        <v>4.6679245283018869</v>
      </c>
      <c r="D49" s="8">
        <v>79</v>
      </c>
      <c r="E49" s="1"/>
      <c r="F49" s="1"/>
      <c r="G49" s="1"/>
      <c r="H49" s="1"/>
      <c r="I49" s="1"/>
    </row>
    <row r="50" spans="1:9" ht="46.5" customHeight="1">
      <c r="A50" s="6" t="s">
        <v>351</v>
      </c>
      <c r="B50" s="9">
        <v>1123</v>
      </c>
      <c r="C50" s="16">
        <v>4.7025823686553876</v>
      </c>
      <c r="D50" s="6">
        <v>51</v>
      </c>
      <c r="E50" s="1"/>
      <c r="F50" s="1"/>
      <c r="G50" s="1"/>
      <c r="H50" s="1"/>
      <c r="I50" s="1"/>
    </row>
    <row r="51" spans="1:9" ht="46.5" customHeight="1">
      <c r="A51" s="8" t="s">
        <v>352</v>
      </c>
      <c r="B51" s="10">
        <v>1065</v>
      </c>
      <c r="C51" s="17">
        <v>4.657276995305164</v>
      </c>
      <c r="D51" s="8">
        <v>56</v>
      </c>
      <c r="E51" s="1"/>
      <c r="F51" s="1"/>
      <c r="G51" s="1"/>
      <c r="H51" s="1"/>
      <c r="I51" s="1"/>
    </row>
    <row r="52" spans="1:9" ht="46.5" customHeight="1">
      <c r="A52" s="6" t="s">
        <v>353</v>
      </c>
      <c r="B52" s="9">
        <v>867</v>
      </c>
      <c r="C52" s="16">
        <v>4.8500576701268745</v>
      </c>
      <c r="D52" s="6">
        <v>18</v>
      </c>
      <c r="E52" s="1"/>
      <c r="F52" s="1"/>
      <c r="G52" s="1"/>
      <c r="H52" s="1"/>
      <c r="I52" s="1"/>
    </row>
    <row r="53" spans="1:9" ht="46.5" customHeight="1">
      <c r="A53" s="8" t="s">
        <v>354</v>
      </c>
      <c r="B53" s="10">
        <v>823</v>
      </c>
      <c r="C53" s="17">
        <v>4.8918590522478738</v>
      </c>
      <c r="D53" s="8">
        <v>6</v>
      </c>
      <c r="E53" s="1"/>
      <c r="F53" s="1"/>
      <c r="G53" s="1"/>
      <c r="H53" s="1"/>
      <c r="I53" s="1"/>
    </row>
    <row r="54" spans="1:9" ht="46.5" customHeight="1">
      <c r="A54" s="6" t="s">
        <v>355</v>
      </c>
      <c r="B54" s="9">
        <v>557</v>
      </c>
      <c r="C54" s="16">
        <v>4.8258527827648114</v>
      </c>
      <c r="D54" s="6">
        <v>11</v>
      </c>
      <c r="E54" s="1"/>
      <c r="F54" s="1"/>
      <c r="G54" s="1"/>
      <c r="H54" s="1"/>
      <c r="I54" s="1"/>
    </row>
    <row r="55" spans="1:9" ht="46.5" customHeight="1">
      <c r="A55" s="8" t="s">
        <v>356</v>
      </c>
      <c r="B55" s="10">
        <v>240</v>
      </c>
      <c r="C55" s="17">
        <v>4.8708333333333336</v>
      </c>
      <c r="D55" s="8">
        <v>3</v>
      </c>
      <c r="E55" s="1"/>
      <c r="F55" s="1"/>
      <c r="G55" s="1"/>
      <c r="H55" s="1"/>
      <c r="I55" s="1"/>
    </row>
    <row r="56" spans="1:9" ht="46.5" customHeight="1">
      <c r="A56" s="6" t="s">
        <v>357</v>
      </c>
      <c r="B56" s="9">
        <v>227</v>
      </c>
      <c r="C56" s="16">
        <v>4.823788546255507</v>
      </c>
      <c r="D56" s="6">
        <v>3</v>
      </c>
      <c r="E56" s="1"/>
      <c r="F56" s="1"/>
      <c r="G56" s="1"/>
      <c r="H56" s="1"/>
      <c r="I56" s="1"/>
    </row>
    <row r="57" spans="1:9" ht="46.5" customHeight="1">
      <c r="A57" s="8" t="s">
        <v>358</v>
      </c>
      <c r="B57" s="10">
        <v>149</v>
      </c>
      <c r="C57" s="17">
        <v>4.550335570469799</v>
      </c>
      <c r="D57" s="8">
        <v>8</v>
      </c>
      <c r="E57" s="1"/>
      <c r="F57" s="1"/>
      <c r="G57" s="1"/>
      <c r="H57" s="1"/>
      <c r="I57" s="1"/>
    </row>
    <row r="58" spans="1:9" ht="46.5" customHeight="1">
      <c r="A58" s="6" t="s">
        <v>359</v>
      </c>
      <c r="B58" s="9">
        <v>88</v>
      </c>
      <c r="C58" s="16">
        <v>4.7613636363636367</v>
      </c>
      <c r="D58" s="6">
        <v>2</v>
      </c>
      <c r="E58" s="1"/>
      <c r="F58" s="1"/>
      <c r="G58" s="1"/>
      <c r="H58" s="1"/>
      <c r="I58" s="1"/>
    </row>
    <row r="59" spans="1:9" ht="46.5" customHeight="1">
      <c r="A59" s="8" t="s">
        <v>360</v>
      </c>
      <c r="B59" s="10">
        <v>81</v>
      </c>
      <c r="C59" s="17">
        <v>4.4691358024691361</v>
      </c>
      <c r="D59" s="8">
        <v>6</v>
      </c>
      <c r="E59" s="1"/>
      <c r="F59" s="1"/>
      <c r="G59" s="1"/>
      <c r="H59" s="1"/>
      <c r="I59" s="1"/>
    </row>
    <row r="60" spans="1:9" ht="46.5" customHeight="1">
      <c r="A60" s="6" t="s">
        <v>361</v>
      </c>
      <c r="B60" s="9">
        <v>61</v>
      </c>
      <c r="C60" s="16">
        <v>4.9016393442622954</v>
      </c>
      <c r="D60" s="6">
        <v>1</v>
      </c>
      <c r="E60" s="1"/>
      <c r="F60" s="1"/>
      <c r="G60" s="1"/>
      <c r="H60" s="1"/>
      <c r="I60" s="1"/>
    </row>
    <row r="61" spans="1:9" ht="46.5" customHeight="1">
      <c r="A61" s="8" t="s">
        <v>362</v>
      </c>
      <c r="B61" s="10">
        <v>47</v>
      </c>
      <c r="C61" s="17">
        <v>4.8936170212765955</v>
      </c>
      <c r="D61" s="8">
        <v>1</v>
      </c>
      <c r="E61" s="1"/>
      <c r="F61" s="1"/>
      <c r="G61" s="1"/>
      <c r="H61" s="1"/>
      <c r="I61" s="1"/>
    </row>
    <row r="62" spans="1:9" ht="46.5" customHeight="1">
      <c r="A62" s="6" t="s">
        <v>363</v>
      </c>
      <c r="B62" s="9">
        <v>45</v>
      </c>
      <c r="C62" s="16">
        <v>4.9111111111111114</v>
      </c>
      <c r="D62" s="6">
        <v>0</v>
      </c>
      <c r="E62" s="1"/>
      <c r="F62" s="1"/>
      <c r="G62" s="1"/>
      <c r="H62" s="1"/>
      <c r="I62" s="1"/>
    </row>
    <row r="63" spans="1:9" ht="46.5" customHeight="1">
      <c r="A63" s="8" t="s">
        <v>364</v>
      </c>
      <c r="B63" s="10">
        <v>40</v>
      </c>
      <c r="C63" s="17">
        <v>4.4249999999999998</v>
      </c>
      <c r="D63" s="8">
        <v>2</v>
      </c>
      <c r="E63" s="1"/>
      <c r="F63" s="1"/>
      <c r="G63" s="1"/>
      <c r="H63" s="1"/>
      <c r="I63" s="1"/>
    </row>
    <row r="64" spans="1:9" ht="46.5" customHeight="1">
      <c r="A64" s="6" t="s">
        <v>365</v>
      </c>
      <c r="B64" s="9">
        <v>39</v>
      </c>
      <c r="C64" s="16">
        <v>4.8461538461538458</v>
      </c>
      <c r="D64" s="6">
        <v>0</v>
      </c>
      <c r="E64" s="1"/>
      <c r="F64" s="1"/>
      <c r="G64" s="1"/>
      <c r="H64" s="1"/>
      <c r="I64" s="1"/>
    </row>
    <row r="65" spans="1:9" ht="31.5" customHeight="1">
      <c r="A65" s="8" t="s">
        <v>366</v>
      </c>
      <c r="B65" s="10">
        <v>37</v>
      </c>
      <c r="C65" s="17">
        <v>5</v>
      </c>
      <c r="D65" s="8">
        <v>0</v>
      </c>
      <c r="E65" s="1"/>
      <c r="F65" s="1"/>
      <c r="G65" s="1"/>
      <c r="H65" s="1"/>
      <c r="I65" s="1"/>
    </row>
    <row r="66" spans="1:9" ht="46.5" customHeight="1">
      <c r="A66" s="6" t="s">
        <v>367</v>
      </c>
      <c r="B66" s="9">
        <v>36</v>
      </c>
      <c r="C66" s="16">
        <v>4.5277777777777777</v>
      </c>
      <c r="D66" s="6">
        <v>2</v>
      </c>
      <c r="E66" s="1"/>
      <c r="F66" s="1"/>
      <c r="G66" s="1"/>
      <c r="H66" s="1"/>
      <c r="I66" s="1"/>
    </row>
    <row r="67" spans="1:9" ht="46.5" customHeight="1">
      <c r="A67" s="8" t="s">
        <v>368</v>
      </c>
      <c r="B67" s="10">
        <v>31</v>
      </c>
      <c r="C67" s="17">
        <v>4.741935483870968</v>
      </c>
      <c r="D67" s="8">
        <v>0</v>
      </c>
      <c r="E67" s="1"/>
      <c r="F67" s="1"/>
      <c r="G67" s="1"/>
      <c r="H67" s="1"/>
      <c r="I67" s="1"/>
    </row>
    <row r="68" spans="1:9" ht="46.5" customHeight="1">
      <c r="A68" s="6" t="s">
        <v>369</v>
      </c>
      <c r="B68" s="9">
        <v>27</v>
      </c>
      <c r="C68" s="16">
        <v>4.8888888888888893</v>
      </c>
      <c r="D68" s="6">
        <v>0</v>
      </c>
      <c r="E68" s="1"/>
      <c r="F68" s="1"/>
      <c r="G68" s="1"/>
      <c r="H68" s="1"/>
      <c r="I68" s="1"/>
    </row>
    <row r="69" spans="1:9" ht="46.5" customHeight="1">
      <c r="A69" s="8" t="s">
        <v>370</v>
      </c>
      <c r="B69" s="10">
        <v>27</v>
      </c>
      <c r="C69" s="17">
        <v>4.9259259259259256</v>
      </c>
      <c r="D69" s="8">
        <v>0</v>
      </c>
      <c r="E69" s="1"/>
      <c r="F69" s="1"/>
      <c r="G69" s="1"/>
      <c r="H69" s="1"/>
      <c r="I69" s="1"/>
    </row>
    <row r="70" spans="1:9" ht="46.5" customHeight="1">
      <c r="A70" s="6" t="s">
        <v>371</v>
      </c>
      <c r="B70" s="9">
        <v>26</v>
      </c>
      <c r="C70" s="16">
        <v>5</v>
      </c>
      <c r="D70" s="6">
        <v>0</v>
      </c>
      <c r="E70" s="1"/>
      <c r="F70" s="1"/>
      <c r="G70" s="1"/>
      <c r="H70" s="1"/>
      <c r="I70" s="1"/>
    </row>
    <row r="71" spans="1:9" ht="31.5" customHeight="1">
      <c r="A71" s="8" t="s">
        <v>372</v>
      </c>
      <c r="B71" s="10">
        <v>20</v>
      </c>
      <c r="C71" s="17">
        <v>5</v>
      </c>
      <c r="D71" s="8">
        <v>0</v>
      </c>
      <c r="E71" s="1"/>
      <c r="F71" s="1"/>
      <c r="G71" s="1"/>
      <c r="H71" s="1"/>
      <c r="I71" s="1"/>
    </row>
    <row r="72" spans="1:9" ht="46.5" customHeight="1">
      <c r="A72" s="6" t="s">
        <v>373</v>
      </c>
      <c r="B72" s="9">
        <v>19</v>
      </c>
      <c r="C72" s="16">
        <v>4.5789473684210522</v>
      </c>
      <c r="D72" s="6">
        <v>1</v>
      </c>
      <c r="E72" s="1"/>
      <c r="F72" s="1"/>
      <c r="G72" s="1"/>
      <c r="H72" s="1"/>
      <c r="I72" s="1"/>
    </row>
    <row r="73" spans="1:9" ht="31.5" customHeight="1">
      <c r="A73" s="8" t="s">
        <v>374</v>
      </c>
      <c r="B73" s="10">
        <v>15</v>
      </c>
      <c r="C73" s="17">
        <v>5</v>
      </c>
      <c r="D73" s="8">
        <v>0</v>
      </c>
      <c r="E73" s="1"/>
      <c r="F73" s="1"/>
      <c r="G73" s="1"/>
      <c r="H73" s="1"/>
      <c r="I73" s="1"/>
    </row>
    <row r="74" spans="1:9" ht="31.5" customHeight="1">
      <c r="A74" s="6" t="s">
        <v>375</v>
      </c>
      <c r="B74" s="9">
        <v>14</v>
      </c>
      <c r="C74" s="16">
        <v>5</v>
      </c>
      <c r="D74" s="6">
        <v>0</v>
      </c>
      <c r="E74" s="1"/>
      <c r="F74" s="1"/>
      <c r="G74" s="1"/>
      <c r="H74" s="1"/>
      <c r="I74" s="1"/>
    </row>
    <row r="75" spans="1:9" ht="46.5" customHeight="1">
      <c r="A75" s="8" t="s">
        <v>376</v>
      </c>
      <c r="B75" s="10">
        <v>13</v>
      </c>
      <c r="C75" s="17">
        <v>4.7692307692307692</v>
      </c>
      <c r="D75" s="8">
        <v>1</v>
      </c>
      <c r="E75" s="1"/>
      <c r="F75" s="1"/>
      <c r="G75" s="1"/>
      <c r="H75" s="1"/>
      <c r="I75" s="1"/>
    </row>
    <row r="76" spans="1:9" ht="31.5" customHeight="1">
      <c r="A76" s="6" t="s">
        <v>377</v>
      </c>
      <c r="B76" s="9">
        <v>10</v>
      </c>
      <c r="C76" s="16">
        <v>4.9000000000000004</v>
      </c>
      <c r="D76" s="6">
        <v>0</v>
      </c>
      <c r="E76" s="1"/>
      <c r="F76" s="1"/>
      <c r="G76" s="1"/>
      <c r="H76" s="1"/>
      <c r="I76" s="1"/>
    </row>
    <row r="77" spans="1:9" ht="46.5" customHeight="1">
      <c r="A77" s="8" t="s">
        <v>378</v>
      </c>
      <c r="B77" s="10">
        <v>10</v>
      </c>
      <c r="C77" s="17">
        <v>5</v>
      </c>
      <c r="D77" s="8">
        <v>0</v>
      </c>
      <c r="E77" s="1"/>
      <c r="F77" s="1"/>
      <c r="G77" s="1"/>
      <c r="H77" s="1"/>
      <c r="I77" s="1"/>
    </row>
    <row r="78" spans="1:9" ht="46.5" customHeight="1">
      <c r="A78" s="6" t="s">
        <v>379</v>
      </c>
      <c r="B78" s="9">
        <v>9</v>
      </c>
      <c r="C78" s="16">
        <v>4.4444444444444446</v>
      </c>
      <c r="D78" s="6">
        <v>0</v>
      </c>
      <c r="E78" s="1"/>
      <c r="F78" s="1"/>
      <c r="G78" s="1"/>
      <c r="H78" s="1"/>
      <c r="I78" s="1"/>
    </row>
    <row r="79" spans="1:9" ht="31.5" customHeight="1">
      <c r="A79" s="8" t="s">
        <v>380</v>
      </c>
      <c r="B79" s="10">
        <v>8</v>
      </c>
      <c r="C79" s="17">
        <v>5</v>
      </c>
      <c r="D79" s="8">
        <v>0</v>
      </c>
      <c r="E79" s="1"/>
      <c r="F79" s="1"/>
      <c r="G79" s="1"/>
      <c r="H79" s="1"/>
      <c r="I79" s="1"/>
    </row>
    <row r="80" spans="1:9" ht="46.5" customHeight="1">
      <c r="A80" s="6" t="s">
        <v>381</v>
      </c>
      <c r="B80" s="9">
        <v>7</v>
      </c>
      <c r="C80" s="16">
        <v>4.5714285714285712</v>
      </c>
      <c r="D80" s="6">
        <v>1</v>
      </c>
      <c r="E80" s="1"/>
      <c r="F80" s="1"/>
      <c r="G80" s="1"/>
      <c r="H80" s="1"/>
      <c r="I80" s="1"/>
    </row>
    <row r="81" spans="1:9" ht="46.5" customHeight="1">
      <c r="A81" s="8" t="s">
        <v>382</v>
      </c>
      <c r="B81" s="10">
        <v>7</v>
      </c>
      <c r="C81" s="17">
        <v>4.7142857142857144</v>
      </c>
      <c r="D81" s="8">
        <v>0</v>
      </c>
      <c r="E81" s="1"/>
      <c r="F81" s="1"/>
      <c r="G81" s="1"/>
      <c r="H81" s="1"/>
      <c r="I81" s="1"/>
    </row>
    <row r="82" spans="1:9" ht="46.5" customHeight="1">
      <c r="A82" s="6" t="s">
        <v>383</v>
      </c>
      <c r="B82" s="9">
        <v>7</v>
      </c>
      <c r="C82" s="16">
        <v>4.2857142857142856</v>
      </c>
      <c r="D82" s="6">
        <v>0</v>
      </c>
      <c r="E82" s="1"/>
      <c r="F82" s="1"/>
      <c r="G82" s="1"/>
      <c r="H82" s="1"/>
      <c r="I82" s="1"/>
    </row>
    <row r="83" spans="1:9" ht="46.5" customHeight="1">
      <c r="A83" s="8" t="s">
        <v>384</v>
      </c>
      <c r="B83" s="10">
        <v>6</v>
      </c>
      <c r="C83" s="17">
        <v>3.6666666666666665</v>
      </c>
      <c r="D83" s="8">
        <v>2</v>
      </c>
      <c r="E83" s="1"/>
      <c r="F83" s="1"/>
      <c r="G83" s="1"/>
      <c r="H83" s="1"/>
      <c r="I83" s="1"/>
    </row>
    <row r="84" spans="1:9" ht="46.5" customHeight="1">
      <c r="A84" s="6" t="s">
        <v>385</v>
      </c>
      <c r="B84" s="9">
        <v>6</v>
      </c>
      <c r="C84" s="16">
        <v>4.833333333333333</v>
      </c>
      <c r="D84" s="6">
        <v>0</v>
      </c>
      <c r="E84" s="1"/>
      <c r="F84" s="1"/>
      <c r="G84" s="1"/>
      <c r="H84" s="1"/>
      <c r="I84" s="1"/>
    </row>
    <row r="85" spans="1:9" ht="31.5" customHeight="1">
      <c r="A85" s="8" t="s">
        <v>386</v>
      </c>
      <c r="B85" s="10">
        <v>6</v>
      </c>
      <c r="C85" s="17">
        <v>5</v>
      </c>
      <c r="D85" s="8">
        <v>0</v>
      </c>
      <c r="E85" s="1"/>
      <c r="F85" s="1"/>
      <c r="G85" s="1"/>
      <c r="H85" s="1"/>
      <c r="I85" s="1"/>
    </row>
    <row r="86" spans="1:9" ht="31.5" customHeight="1">
      <c r="A86" s="6" t="s">
        <v>387</v>
      </c>
      <c r="B86" s="9">
        <v>5</v>
      </c>
      <c r="C86" s="16">
        <v>5</v>
      </c>
      <c r="D86" s="6">
        <v>0</v>
      </c>
      <c r="E86" s="1"/>
      <c r="F86" s="1"/>
      <c r="G86" s="1"/>
      <c r="H86" s="1"/>
      <c r="I86" s="1"/>
    </row>
    <row r="87" spans="1:9" ht="31.5" customHeight="1">
      <c r="A87" s="8" t="s">
        <v>388</v>
      </c>
      <c r="B87" s="10">
        <v>4</v>
      </c>
      <c r="C87" s="17">
        <v>4.5</v>
      </c>
      <c r="D87" s="8">
        <v>0</v>
      </c>
      <c r="E87" s="1"/>
      <c r="F87" s="1"/>
      <c r="G87" s="1"/>
      <c r="H87" s="1"/>
      <c r="I87" s="1"/>
    </row>
    <row r="88" spans="1:9" ht="31.5" customHeight="1">
      <c r="A88" s="6" t="s">
        <v>389</v>
      </c>
      <c r="B88" s="9">
        <v>4</v>
      </c>
      <c r="C88" s="16">
        <v>5</v>
      </c>
      <c r="D88" s="6">
        <v>0</v>
      </c>
      <c r="E88" s="1"/>
      <c r="F88" s="1"/>
      <c r="G88" s="1"/>
      <c r="H88" s="1"/>
      <c r="I88" s="1"/>
    </row>
    <row r="89" spans="1:9" ht="31.5" customHeight="1">
      <c r="A89" s="8" t="s">
        <v>390</v>
      </c>
      <c r="B89" s="10">
        <v>4</v>
      </c>
      <c r="C89" s="17">
        <v>4.5</v>
      </c>
      <c r="D89" s="8">
        <v>0</v>
      </c>
      <c r="E89" s="1"/>
      <c r="F89" s="1"/>
      <c r="G89" s="1"/>
      <c r="H89" s="1"/>
      <c r="I89" s="1"/>
    </row>
    <row r="90" spans="1:9" ht="46.5" customHeight="1">
      <c r="A90" s="6" t="s">
        <v>391</v>
      </c>
      <c r="B90" s="9">
        <v>4</v>
      </c>
      <c r="C90" s="16">
        <v>5</v>
      </c>
      <c r="D90" s="6">
        <v>0</v>
      </c>
      <c r="E90" s="1"/>
      <c r="F90" s="1"/>
      <c r="G90" s="1"/>
      <c r="H90" s="1"/>
      <c r="I90" s="1"/>
    </row>
    <row r="91" spans="1:9" ht="31.5" customHeight="1">
      <c r="A91" s="8" t="s">
        <v>392</v>
      </c>
      <c r="B91" s="10">
        <v>4</v>
      </c>
      <c r="C91" s="17">
        <v>5</v>
      </c>
      <c r="D91" s="8">
        <v>0</v>
      </c>
      <c r="E91" s="1"/>
      <c r="F91" s="1"/>
      <c r="G91" s="1"/>
      <c r="H91" s="1"/>
      <c r="I91" s="1"/>
    </row>
    <row r="92" spans="1:9" ht="46.5" customHeight="1">
      <c r="A92" s="6" t="s">
        <v>393</v>
      </c>
      <c r="B92" s="9">
        <v>4</v>
      </c>
      <c r="C92" s="16">
        <v>5</v>
      </c>
      <c r="D92" s="6">
        <v>0</v>
      </c>
      <c r="E92" s="1"/>
      <c r="F92" s="1"/>
      <c r="G92" s="1"/>
      <c r="H92" s="1"/>
      <c r="I92" s="1"/>
    </row>
    <row r="93" spans="1:9" ht="31.5" customHeight="1">
      <c r="A93" s="8" t="s">
        <v>394</v>
      </c>
      <c r="B93" s="10">
        <v>3</v>
      </c>
      <c r="C93" s="17">
        <v>5</v>
      </c>
      <c r="D93" s="8">
        <v>0</v>
      </c>
      <c r="E93" s="1"/>
      <c r="F93" s="1"/>
      <c r="G93" s="1"/>
      <c r="H93" s="1"/>
      <c r="I93" s="1"/>
    </row>
    <row r="94" spans="1:9" ht="31.5" customHeight="1">
      <c r="A94" s="6" t="s">
        <v>395</v>
      </c>
      <c r="B94" s="9">
        <v>3</v>
      </c>
      <c r="C94" s="16">
        <v>5</v>
      </c>
      <c r="D94" s="6">
        <v>0</v>
      </c>
      <c r="E94" s="1"/>
      <c r="F94" s="1"/>
      <c r="G94" s="1"/>
      <c r="H94" s="1"/>
      <c r="I94" s="1"/>
    </row>
    <row r="95" spans="1:9" ht="46.5" customHeight="1">
      <c r="A95" s="8" t="s">
        <v>396</v>
      </c>
      <c r="B95" s="10">
        <v>3</v>
      </c>
      <c r="C95" s="17">
        <v>4.333333333333333</v>
      </c>
      <c r="D95" s="8">
        <v>0</v>
      </c>
      <c r="E95" s="1"/>
      <c r="F95" s="1"/>
      <c r="G95" s="1"/>
      <c r="H95" s="1"/>
      <c r="I95" s="1"/>
    </row>
    <row r="96" spans="1:9" ht="31.5" customHeight="1">
      <c r="A96" s="6" t="s">
        <v>397</v>
      </c>
      <c r="B96" s="9">
        <v>2</v>
      </c>
      <c r="C96" s="16">
        <v>5</v>
      </c>
      <c r="D96" s="6">
        <v>0</v>
      </c>
      <c r="E96" s="1"/>
      <c r="F96" s="1"/>
      <c r="G96" s="1"/>
      <c r="H96" s="1"/>
      <c r="I96" s="1"/>
    </row>
    <row r="97" spans="1:9" ht="46.5" customHeight="1">
      <c r="A97" s="8" t="s">
        <v>398</v>
      </c>
      <c r="B97" s="10">
        <v>2</v>
      </c>
      <c r="C97" s="17">
        <v>5</v>
      </c>
      <c r="D97" s="8">
        <v>0</v>
      </c>
      <c r="E97" s="1"/>
      <c r="F97" s="1"/>
      <c r="G97" s="1"/>
      <c r="H97" s="1"/>
      <c r="I97" s="1"/>
    </row>
    <row r="98" spans="1:9" ht="31.5" customHeight="1">
      <c r="A98" s="6" t="s">
        <v>399</v>
      </c>
      <c r="B98" s="9">
        <v>2</v>
      </c>
      <c r="C98" s="16">
        <v>5</v>
      </c>
      <c r="D98" s="6">
        <v>0</v>
      </c>
      <c r="E98" s="1"/>
      <c r="F98" s="1"/>
      <c r="G98" s="1"/>
      <c r="H98" s="1"/>
      <c r="I98" s="1"/>
    </row>
    <row r="99" spans="1:9" ht="31.5" customHeight="1">
      <c r="A99" s="8" t="s">
        <v>400</v>
      </c>
      <c r="B99" s="10">
        <v>1</v>
      </c>
      <c r="C99" s="17">
        <v>5</v>
      </c>
      <c r="D99" s="8">
        <v>0</v>
      </c>
      <c r="E99" s="1"/>
      <c r="F99" s="1"/>
      <c r="G99" s="1"/>
      <c r="H99" s="1"/>
      <c r="I99" s="1"/>
    </row>
    <row r="100" spans="1:9" ht="31.5" customHeight="1">
      <c r="A100" s="6" t="s">
        <v>401</v>
      </c>
      <c r="B100" s="9">
        <v>1</v>
      </c>
      <c r="C100" s="16">
        <v>5</v>
      </c>
      <c r="D100" s="6">
        <v>0</v>
      </c>
      <c r="E100" s="1"/>
      <c r="F100" s="1"/>
      <c r="G100" s="1"/>
      <c r="H100" s="1"/>
      <c r="I100" s="1"/>
    </row>
    <row r="101" spans="1:9" ht="46.5" customHeight="1">
      <c r="A101" s="8" t="s">
        <v>402</v>
      </c>
      <c r="B101" s="10">
        <v>1</v>
      </c>
      <c r="C101" s="17">
        <v>5</v>
      </c>
      <c r="D101" s="8">
        <v>0</v>
      </c>
      <c r="E101" s="1"/>
      <c r="F101" s="1"/>
      <c r="G101" s="1"/>
      <c r="H101" s="1"/>
      <c r="I101" s="1"/>
    </row>
    <row r="102" spans="1:9" ht="46.5" customHeight="1">
      <c r="A102" s="6" t="s">
        <v>403</v>
      </c>
      <c r="B102" s="9">
        <v>1</v>
      </c>
      <c r="C102" s="16">
        <v>5</v>
      </c>
      <c r="D102" s="6">
        <v>0</v>
      </c>
      <c r="E102" s="1"/>
      <c r="F102" s="1"/>
      <c r="G102" s="1"/>
      <c r="H102" s="1"/>
      <c r="I102" s="1"/>
    </row>
    <row r="103" spans="1:9" ht="31.5" customHeight="1">
      <c r="A103" s="8" t="s">
        <v>404</v>
      </c>
      <c r="B103" s="10">
        <v>1</v>
      </c>
      <c r="C103" s="17">
        <v>5</v>
      </c>
      <c r="D103" s="8">
        <v>0</v>
      </c>
      <c r="E103" s="1"/>
      <c r="F103" s="1"/>
      <c r="G103" s="1"/>
      <c r="H103" s="1"/>
      <c r="I103" s="1"/>
    </row>
    <row r="104" spans="1:9" ht="31.5" customHeight="1">
      <c r="A104" s="6" t="s">
        <v>405</v>
      </c>
      <c r="B104" s="9">
        <v>1</v>
      </c>
      <c r="C104" s="16">
        <v>5</v>
      </c>
      <c r="D104" s="6">
        <v>0</v>
      </c>
      <c r="E104" s="1"/>
      <c r="F104" s="1"/>
      <c r="G104" s="1"/>
      <c r="H104" s="1"/>
      <c r="I104" s="1"/>
    </row>
    <row r="105" spans="1:9" ht="46.5" customHeight="1">
      <c r="A105" s="8" t="s">
        <v>406</v>
      </c>
      <c r="B105" s="10">
        <v>1</v>
      </c>
      <c r="C105" s="17">
        <v>5</v>
      </c>
      <c r="D105" s="8">
        <v>0</v>
      </c>
      <c r="E105" s="1"/>
      <c r="F105" s="1"/>
      <c r="G105" s="1"/>
      <c r="H105" s="1"/>
      <c r="I105" s="1"/>
    </row>
    <row r="106" spans="1:9" ht="31.5" customHeight="1">
      <c r="A106" s="6" t="s">
        <v>407</v>
      </c>
      <c r="B106" s="9">
        <v>1</v>
      </c>
      <c r="C106" s="16">
        <v>5</v>
      </c>
      <c r="D106" s="6">
        <v>0</v>
      </c>
      <c r="E106" s="1"/>
      <c r="F106" s="1"/>
      <c r="G106" s="1"/>
      <c r="H106" s="1"/>
      <c r="I106" s="1"/>
    </row>
    <row r="107" spans="1:9" ht="31.5" customHeight="1">
      <c r="A107" s="8" t="s">
        <v>408</v>
      </c>
      <c r="B107" s="10">
        <v>1</v>
      </c>
      <c r="C107" s="17">
        <v>5</v>
      </c>
      <c r="D107" s="8">
        <v>0</v>
      </c>
      <c r="E107" s="1"/>
      <c r="F107" s="1"/>
      <c r="G107" s="1"/>
      <c r="H107" s="1"/>
      <c r="I107" s="1"/>
    </row>
    <row r="108" spans="1:9" ht="31.5" customHeight="1">
      <c r="A108" s="6" t="s">
        <v>409</v>
      </c>
      <c r="B108" s="9">
        <v>1</v>
      </c>
      <c r="C108" s="16">
        <v>5</v>
      </c>
      <c r="D108" s="6">
        <v>0</v>
      </c>
      <c r="E108" s="1"/>
      <c r="F108" s="1"/>
      <c r="G108" s="1"/>
      <c r="H108" s="1"/>
      <c r="I108" s="1"/>
    </row>
    <row r="109" spans="1:9" ht="31.5" customHeight="1">
      <c r="A109" s="8" t="s">
        <v>410</v>
      </c>
      <c r="B109" s="10">
        <v>1</v>
      </c>
      <c r="C109" s="17">
        <v>5</v>
      </c>
      <c r="D109" s="8">
        <v>0</v>
      </c>
      <c r="E109" s="1"/>
      <c r="F109" s="1"/>
      <c r="G109" s="1"/>
      <c r="H109" s="1"/>
      <c r="I109" s="1"/>
    </row>
    <row r="110" spans="1:9">
      <c r="A110" s="1"/>
      <c r="B110" s="1"/>
      <c r="C110" s="1"/>
      <c r="D110" s="1"/>
      <c r="E110" s="1"/>
      <c r="F110" s="1"/>
      <c r="G110" s="1"/>
      <c r="H110" s="1"/>
      <c r="I110" s="1"/>
    </row>
    <row r="111" spans="1:9">
      <c r="A111" s="1"/>
      <c r="B111" s="1"/>
      <c r="C111" s="1"/>
      <c r="D111" s="1"/>
      <c r="E111" s="1"/>
      <c r="F111" s="1"/>
      <c r="G111" s="1"/>
      <c r="H111" s="1"/>
      <c r="I111" s="1"/>
    </row>
    <row r="112" spans="1:9">
      <c r="A112" s="1"/>
      <c r="B112" s="1"/>
      <c r="C112" s="1"/>
      <c r="D112" s="1"/>
      <c r="E112" s="1"/>
      <c r="F112" s="1"/>
      <c r="G112" s="1"/>
      <c r="H112" s="1"/>
      <c r="I112" s="1"/>
    </row>
    <row r="113" spans="1:9">
      <c r="A113" s="1"/>
      <c r="B113" s="1"/>
      <c r="C113" s="1"/>
      <c r="D113" s="1"/>
      <c r="E113" s="1"/>
      <c r="F113" s="1"/>
      <c r="G113" s="1"/>
      <c r="H113" s="1"/>
      <c r="I113" s="1"/>
    </row>
    <row r="114" spans="1:9">
      <c r="A114" s="1"/>
      <c r="B114" s="1"/>
      <c r="C114" s="1"/>
      <c r="D114" s="1"/>
      <c r="E114" s="1"/>
      <c r="F114" s="1"/>
      <c r="G114" s="1"/>
      <c r="H114" s="1"/>
      <c r="I114" s="1"/>
    </row>
    <row r="115" spans="1:9">
      <c r="A115" s="1"/>
      <c r="B115" s="1"/>
      <c r="C115" s="1"/>
      <c r="D115" s="1"/>
      <c r="E115" s="1"/>
      <c r="F115" s="1"/>
      <c r="G115" s="1"/>
      <c r="H115" s="1"/>
      <c r="I115" s="1"/>
    </row>
    <row r="116" spans="1:9">
      <c r="A116" s="1"/>
      <c r="B116" s="1"/>
      <c r="C116" s="1"/>
      <c r="D116" s="1"/>
      <c r="E116" s="1"/>
      <c r="F116" s="1"/>
      <c r="G116" s="1"/>
      <c r="H116" s="1"/>
      <c r="I116" s="1"/>
    </row>
    <row r="117" spans="1:9">
      <c r="A117" s="1"/>
      <c r="B117" s="1"/>
      <c r="C117" s="1"/>
      <c r="D117" s="1"/>
      <c r="E117" s="1"/>
      <c r="F117" s="1"/>
      <c r="G117" s="1"/>
      <c r="H117" s="1"/>
      <c r="I117" s="1"/>
    </row>
    <row r="118" spans="1:9">
      <c r="A118" s="1"/>
      <c r="B118" s="1"/>
      <c r="C118" s="1"/>
      <c r="D118" s="1"/>
      <c r="E118" s="1"/>
      <c r="F118" s="1"/>
      <c r="G118" s="1"/>
      <c r="H118" s="1"/>
      <c r="I118" s="1"/>
    </row>
    <row r="119" spans="1:9">
      <c r="A119" s="1"/>
      <c r="B119" s="1"/>
      <c r="C119" s="1"/>
      <c r="D119" s="1"/>
      <c r="E119" s="1"/>
      <c r="F119" s="1"/>
      <c r="G119" s="1"/>
      <c r="H119" s="1"/>
      <c r="I119" s="1"/>
    </row>
    <row r="120" spans="1:9">
      <c r="A120" s="1"/>
      <c r="B120" s="1"/>
      <c r="C120" s="1"/>
      <c r="D120" s="1"/>
      <c r="E120" s="1"/>
      <c r="F120" s="1"/>
      <c r="G120" s="1"/>
      <c r="H120" s="1"/>
      <c r="I120" s="1"/>
    </row>
    <row r="121" spans="1:9">
      <c r="A121" s="1"/>
      <c r="B121" s="1"/>
      <c r="C121" s="1"/>
      <c r="D121" s="1"/>
      <c r="E121" s="1"/>
      <c r="F121" s="1"/>
      <c r="G121" s="1"/>
      <c r="H121" s="1"/>
      <c r="I121" s="1"/>
    </row>
    <row r="122" spans="1:9">
      <c r="A122" s="1"/>
      <c r="B122" s="1"/>
      <c r="C122" s="1"/>
      <c r="D122" s="1"/>
      <c r="E122" s="1"/>
      <c r="F122" s="1"/>
      <c r="G122" s="1"/>
      <c r="H122" s="1"/>
      <c r="I122" s="1"/>
    </row>
    <row r="123" spans="1:9">
      <c r="A123" s="1"/>
      <c r="B123" s="1"/>
      <c r="C123" s="1"/>
      <c r="D123" s="1"/>
      <c r="E123" s="1"/>
      <c r="F123" s="1"/>
      <c r="G123" s="1"/>
      <c r="H123" s="1"/>
      <c r="I123" s="1"/>
    </row>
    <row r="124" spans="1:9">
      <c r="A124" s="1"/>
      <c r="B124" s="1"/>
      <c r="C124" s="1"/>
      <c r="D124" s="1"/>
      <c r="E124" s="1"/>
      <c r="F124" s="1"/>
      <c r="G124" s="1"/>
      <c r="H124" s="1"/>
      <c r="I124" s="1"/>
    </row>
    <row r="125" spans="1:9">
      <c r="A125" s="1"/>
      <c r="B125" s="1"/>
      <c r="C125" s="1"/>
      <c r="D125" s="1"/>
      <c r="E125" s="1"/>
      <c r="F125" s="1"/>
      <c r="G125" s="1"/>
      <c r="H125" s="1"/>
      <c r="I125" s="1"/>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8"/>
  <sheetViews>
    <sheetView showGridLines="0" workbookViewId="0">
      <pane xSplit="2" ySplit="5" topLeftCell="C6" activePane="bottomRight" state="frozen"/>
      <selection pane="topRight"/>
      <selection pane="bottomLeft"/>
      <selection pane="bottomRight" activeCell="C6" sqref="C6"/>
    </sheetView>
  </sheetViews>
  <sheetFormatPr baseColWidth="10" defaultColWidth="8.83203125" defaultRowHeight="14"/>
  <cols>
    <col min="1" max="1" width="6.6640625" customWidth="1"/>
    <col min="2" max="2" width="32.83203125" customWidth="1"/>
    <col min="3" max="3" width="85" customWidth="1"/>
    <col min="4" max="4" width="23.33203125" customWidth="1"/>
    <col min="5" max="5" width="38.83203125" customWidth="1"/>
  </cols>
  <sheetData>
    <row r="1" spans="1:5">
      <c r="A1" s="1"/>
      <c r="B1" s="1"/>
      <c r="C1" s="1"/>
      <c r="D1" s="1"/>
      <c r="E1" s="1"/>
    </row>
    <row r="2" spans="1:5" ht="29" customHeight="1">
      <c r="A2" s="2" t="s">
        <v>411</v>
      </c>
      <c r="B2" s="2"/>
      <c r="C2" s="2"/>
      <c r="D2" s="2"/>
      <c r="E2" s="2"/>
    </row>
    <row r="3" spans="1:5">
      <c r="A3" s="1"/>
      <c r="B3" s="1" t="s">
        <v>412</v>
      </c>
      <c r="C3" s="1"/>
      <c r="D3" s="1"/>
      <c r="E3" s="1"/>
    </row>
    <row r="4" spans="1:5">
      <c r="A4" s="1"/>
      <c r="B4" s="1"/>
      <c r="C4" s="1"/>
      <c r="D4" s="1"/>
      <c r="E4" s="1"/>
    </row>
    <row r="5" spans="1:5" ht="30" customHeight="1">
      <c r="A5" s="4" t="s">
        <v>413</v>
      </c>
      <c r="B5" s="4" t="s">
        <v>414</v>
      </c>
      <c r="C5" s="4" t="s">
        <v>415</v>
      </c>
      <c r="D5" s="4" t="s">
        <v>416</v>
      </c>
      <c r="E5" s="4" t="s">
        <v>417</v>
      </c>
    </row>
    <row r="6" spans="1:5" ht="106.5" customHeight="1">
      <c r="A6" s="6">
        <v>1</v>
      </c>
      <c r="B6" s="6" t="s">
        <v>418</v>
      </c>
      <c r="C6" s="6" t="s">
        <v>419</v>
      </c>
      <c r="D6" s="6" t="s">
        <v>420</v>
      </c>
      <c r="E6" s="6" t="s">
        <v>421</v>
      </c>
    </row>
    <row r="7" spans="1:5" ht="106.5" customHeight="1">
      <c r="A7" s="8">
        <v>2</v>
      </c>
      <c r="B7" s="8" t="s">
        <v>422</v>
      </c>
      <c r="C7" s="8" t="s">
        <v>423</v>
      </c>
      <c r="D7" s="8" t="s">
        <v>424</v>
      </c>
      <c r="E7" s="8" t="s">
        <v>425</v>
      </c>
    </row>
    <row r="8" spans="1:5" ht="106.5" customHeight="1">
      <c r="A8" s="6">
        <v>3</v>
      </c>
      <c r="B8" s="6" t="s">
        <v>426</v>
      </c>
      <c r="C8" s="6" t="s">
        <v>427</v>
      </c>
      <c r="D8" s="6" t="s">
        <v>428</v>
      </c>
      <c r="E8" s="6" t="s">
        <v>429</v>
      </c>
    </row>
    <row r="9" spans="1:5" ht="106.5" customHeight="1">
      <c r="A9" s="8">
        <v>4</v>
      </c>
      <c r="B9" s="8" t="s">
        <v>430</v>
      </c>
      <c r="C9" s="8" t="s">
        <v>431</v>
      </c>
      <c r="D9" s="8" t="s">
        <v>432</v>
      </c>
      <c r="E9" s="8" t="s">
        <v>433</v>
      </c>
    </row>
    <row r="10" spans="1:5" ht="106.5" customHeight="1">
      <c r="A10" s="6">
        <v>5</v>
      </c>
      <c r="B10" s="6" t="s">
        <v>434</v>
      </c>
      <c r="C10" s="6" t="s">
        <v>435</v>
      </c>
      <c r="D10" s="6" t="s">
        <v>436</v>
      </c>
      <c r="E10" s="6" t="s">
        <v>437</v>
      </c>
    </row>
    <row r="11" spans="1:5" ht="91.5" customHeight="1">
      <c r="A11" s="8">
        <v>6</v>
      </c>
      <c r="B11" s="8" t="s">
        <v>438</v>
      </c>
      <c r="C11" s="8" t="s">
        <v>439</v>
      </c>
      <c r="D11" s="8" t="s">
        <v>440</v>
      </c>
      <c r="E11" s="8" t="s">
        <v>441</v>
      </c>
    </row>
    <row r="12" spans="1:5" ht="91.5" customHeight="1">
      <c r="A12" s="6">
        <v>7</v>
      </c>
      <c r="B12" s="6" t="s">
        <v>442</v>
      </c>
      <c r="C12" s="6" t="s">
        <v>443</v>
      </c>
      <c r="D12" s="6" t="s">
        <v>444</v>
      </c>
      <c r="E12" s="6" t="s">
        <v>445</v>
      </c>
    </row>
    <row r="13" spans="1:5" ht="106.5" customHeight="1">
      <c r="A13" s="8">
        <v>8</v>
      </c>
      <c r="B13" s="8" t="s">
        <v>446</v>
      </c>
      <c r="C13" s="8" t="s">
        <v>447</v>
      </c>
      <c r="D13" s="8" t="s">
        <v>448</v>
      </c>
      <c r="E13" s="8" t="s">
        <v>449</v>
      </c>
    </row>
    <row r="14" spans="1:5" ht="106.5" customHeight="1">
      <c r="A14" s="6">
        <v>9</v>
      </c>
      <c r="B14" s="6" t="s">
        <v>450</v>
      </c>
      <c r="C14" s="6" t="s">
        <v>451</v>
      </c>
      <c r="D14" s="6" t="s">
        <v>452</v>
      </c>
      <c r="E14" s="6" t="s">
        <v>453</v>
      </c>
    </row>
    <row r="15" spans="1:5" ht="106.5" customHeight="1">
      <c r="A15" s="8">
        <v>10</v>
      </c>
      <c r="B15" s="8" t="s">
        <v>454</v>
      </c>
      <c r="C15" s="8" t="s">
        <v>455</v>
      </c>
      <c r="D15" s="8" t="s">
        <v>456</v>
      </c>
      <c r="E15" s="8" t="s">
        <v>457</v>
      </c>
    </row>
    <row r="16" spans="1:5" ht="91.5" customHeight="1">
      <c r="A16" s="6">
        <v>11</v>
      </c>
      <c r="B16" s="6" t="s">
        <v>458</v>
      </c>
      <c r="C16" s="6" t="s">
        <v>459</v>
      </c>
      <c r="D16" s="6" t="s">
        <v>460</v>
      </c>
      <c r="E16" s="6" t="s">
        <v>461</v>
      </c>
    </row>
    <row r="17" spans="1:5" ht="91.5" customHeight="1">
      <c r="A17" s="8">
        <v>12</v>
      </c>
      <c r="B17" s="8" t="s">
        <v>462</v>
      </c>
      <c r="C17" s="8" t="s">
        <v>463</v>
      </c>
      <c r="D17" s="8" t="s">
        <v>464</v>
      </c>
      <c r="E17" s="8" t="s">
        <v>465</v>
      </c>
    </row>
    <row r="18" spans="1:5" ht="91.5" customHeight="1">
      <c r="A18" s="6">
        <v>13</v>
      </c>
      <c r="B18" s="6" t="s">
        <v>466</v>
      </c>
      <c r="C18" s="6" t="s">
        <v>467</v>
      </c>
      <c r="D18" s="6" t="s">
        <v>468</v>
      </c>
      <c r="E18" s="6" t="s">
        <v>469</v>
      </c>
    </row>
    <row r="19" spans="1:5" ht="106.5" customHeight="1">
      <c r="A19" s="8">
        <v>14</v>
      </c>
      <c r="B19" s="8" t="s">
        <v>470</v>
      </c>
      <c r="C19" s="8" t="s">
        <v>471</v>
      </c>
      <c r="D19" s="8" t="s">
        <v>472</v>
      </c>
      <c r="E19" s="8" t="s">
        <v>473</v>
      </c>
    </row>
    <row r="20" spans="1:5" ht="91.5" customHeight="1">
      <c r="A20" s="6">
        <v>15</v>
      </c>
      <c r="B20" s="6" t="s">
        <v>474</v>
      </c>
      <c r="C20" s="6" t="s">
        <v>475</v>
      </c>
      <c r="D20" s="6" t="s">
        <v>476</v>
      </c>
      <c r="E20" s="6" t="s">
        <v>477</v>
      </c>
    </row>
    <row r="21" spans="1:5" ht="106.5" customHeight="1">
      <c r="A21" s="8">
        <v>16</v>
      </c>
      <c r="B21" s="8" t="s">
        <v>478</v>
      </c>
      <c r="C21" s="8" t="s">
        <v>479</v>
      </c>
      <c r="D21" s="8" t="s">
        <v>480</v>
      </c>
      <c r="E21" s="8" t="s">
        <v>481</v>
      </c>
    </row>
    <row r="22" spans="1:5" ht="106.5" customHeight="1">
      <c r="A22" s="6">
        <v>17</v>
      </c>
      <c r="B22" s="6" t="s">
        <v>482</v>
      </c>
      <c r="C22" s="6" t="s">
        <v>483</v>
      </c>
      <c r="D22" s="6" t="s">
        <v>484</v>
      </c>
      <c r="E22" s="6" t="s">
        <v>485</v>
      </c>
    </row>
    <row r="23" spans="1:5" ht="91.5" customHeight="1">
      <c r="A23" s="8">
        <v>18</v>
      </c>
      <c r="B23" s="8" t="s">
        <v>486</v>
      </c>
      <c r="C23" s="8" t="s">
        <v>487</v>
      </c>
      <c r="D23" s="8" t="s">
        <v>488</v>
      </c>
      <c r="E23" s="8" t="s">
        <v>489</v>
      </c>
    </row>
    <row r="24" spans="1:5" ht="106.5" customHeight="1">
      <c r="A24" s="6">
        <v>19</v>
      </c>
      <c r="B24" s="6" t="s">
        <v>490</v>
      </c>
      <c r="C24" s="6" t="s">
        <v>491</v>
      </c>
      <c r="D24" s="6" t="s">
        <v>492</v>
      </c>
      <c r="E24" s="6" t="s">
        <v>493</v>
      </c>
    </row>
    <row r="25" spans="1:5" ht="91.5" customHeight="1">
      <c r="A25" s="8">
        <v>20</v>
      </c>
      <c r="B25" s="8" t="s">
        <v>494</v>
      </c>
      <c r="C25" s="8" t="s">
        <v>495</v>
      </c>
      <c r="D25" s="8" t="s">
        <v>496</v>
      </c>
      <c r="E25" s="8" t="s">
        <v>497</v>
      </c>
    </row>
    <row r="26" spans="1:5" ht="106.5" customHeight="1">
      <c r="A26" s="6">
        <v>21</v>
      </c>
      <c r="B26" s="6" t="s">
        <v>498</v>
      </c>
      <c r="C26" s="6" t="s">
        <v>499</v>
      </c>
      <c r="D26" s="6" t="s">
        <v>500</v>
      </c>
      <c r="E26" s="6" t="s">
        <v>501</v>
      </c>
    </row>
    <row r="27" spans="1:5" ht="91.5" customHeight="1">
      <c r="A27" s="8">
        <v>22</v>
      </c>
      <c r="B27" s="8" t="s">
        <v>502</v>
      </c>
      <c r="C27" s="8" t="s">
        <v>503</v>
      </c>
      <c r="D27" s="8" t="s">
        <v>504</v>
      </c>
      <c r="E27" s="8" t="s">
        <v>505</v>
      </c>
    </row>
    <row r="28" spans="1:5" ht="106.5" customHeight="1">
      <c r="A28" s="6">
        <v>23</v>
      </c>
      <c r="B28" s="6" t="s">
        <v>506</v>
      </c>
      <c r="C28" s="6" t="s">
        <v>507</v>
      </c>
      <c r="D28" s="6" t="s">
        <v>508</v>
      </c>
      <c r="E28" s="6" t="s">
        <v>509</v>
      </c>
    </row>
    <row r="29" spans="1:5" ht="106.5" customHeight="1">
      <c r="A29" s="8">
        <v>24</v>
      </c>
      <c r="B29" s="8" t="s">
        <v>510</v>
      </c>
      <c r="C29" s="8" t="s">
        <v>511</v>
      </c>
      <c r="D29" s="8" t="s">
        <v>512</v>
      </c>
      <c r="E29" s="8" t="s">
        <v>513</v>
      </c>
    </row>
    <row r="30" spans="1:5" ht="106.5" customHeight="1">
      <c r="A30" s="6">
        <v>25</v>
      </c>
      <c r="B30" s="6" t="s">
        <v>514</v>
      </c>
      <c r="C30" s="6" t="s">
        <v>515</v>
      </c>
      <c r="D30" s="6" t="s">
        <v>516</v>
      </c>
      <c r="E30" s="6" t="s">
        <v>517</v>
      </c>
    </row>
    <row r="31" spans="1:5" ht="91.5" customHeight="1">
      <c r="A31" s="8">
        <v>26</v>
      </c>
      <c r="B31" s="8" t="s">
        <v>518</v>
      </c>
      <c r="C31" s="8" t="s">
        <v>519</v>
      </c>
      <c r="D31" s="8" t="s">
        <v>520</v>
      </c>
      <c r="E31" s="8" t="s">
        <v>429</v>
      </c>
    </row>
    <row r="32" spans="1:5" ht="91.5" customHeight="1">
      <c r="A32" s="6">
        <v>27</v>
      </c>
      <c r="B32" s="6" t="s">
        <v>521</v>
      </c>
      <c r="C32" s="6" t="s">
        <v>522</v>
      </c>
      <c r="D32" s="6" t="s">
        <v>523</v>
      </c>
      <c r="E32" s="6" t="s">
        <v>524</v>
      </c>
    </row>
    <row r="33" spans="1:5" ht="106.5" customHeight="1">
      <c r="A33" s="8">
        <v>28</v>
      </c>
      <c r="B33" s="8" t="s">
        <v>525</v>
      </c>
      <c r="C33" s="8" t="s">
        <v>526</v>
      </c>
      <c r="D33" s="8" t="s">
        <v>527</v>
      </c>
      <c r="E33" s="8" t="s">
        <v>528</v>
      </c>
    </row>
    <row r="34" spans="1:5" ht="106.5" customHeight="1">
      <c r="A34" s="6">
        <v>29</v>
      </c>
      <c r="B34" s="6" t="s">
        <v>529</v>
      </c>
      <c r="C34" s="6" t="s">
        <v>530</v>
      </c>
      <c r="D34" s="6" t="s">
        <v>531</v>
      </c>
      <c r="E34" s="6" t="s">
        <v>532</v>
      </c>
    </row>
    <row r="35" spans="1:5" ht="106.5" customHeight="1">
      <c r="A35" s="8">
        <v>30</v>
      </c>
      <c r="B35" s="8" t="s">
        <v>533</v>
      </c>
      <c r="C35" s="8" t="s">
        <v>534</v>
      </c>
      <c r="D35" s="8" t="s">
        <v>535</v>
      </c>
      <c r="E35" s="8" t="s">
        <v>536</v>
      </c>
    </row>
    <row r="36" spans="1:5">
      <c r="A36" s="1"/>
      <c r="B36" s="1"/>
      <c r="C36" s="1"/>
      <c r="D36" s="1"/>
      <c r="E36" s="1"/>
    </row>
    <row r="37" spans="1:5">
      <c r="A37" s="1"/>
      <c r="B37" s="1"/>
      <c r="C37" s="1"/>
      <c r="D37" s="1"/>
      <c r="E37" s="1"/>
    </row>
    <row r="38" spans="1:5">
      <c r="A38" s="1"/>
      <c r="B38" s="1"/>
      <c r="C38" s="1"/>
      <c r="D38" s="1"/>
      <c r="E38" s="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65"/>
  <sheetViews>
    <sheetView showGridLines="0" workbookViewId="0">
      <pane xSplit="1" ySplit="5" topLeftCell="B6" activePane="bottomRight" state="frozen"/>
      <selection pane="topRight"/>
      <selection pane="bottomLeft"/>
      <selection pane="bottomRight" activeCell="B6" sqref="B6"/>
    </sheetView>
  </sheetViews>
  <sheetFormatPr baseColWidth="10" defaultColWidth="8.83203125" defaultRowHeight="14"/>
  <cols>
    <col min="1" max="1" width="9.5" customWidth="1"/>
    <col min="2" max="2" width="25" customWidth="1"/>
    <col min="3" max="3" width="74.5" customWidth="1"/>
    <col min="4" max="4" width="8.33203125" customWidth="1"/>
    <col min="5" max="5" width="30.5" customWidth="1"/>
    <col min="6" max="6" width="37.1640625" customWidth="1"/>
    <col min="7" max="7" width="38.83203125" customWidth="1"/>
  </cols>
  <sheetData>
    <row r="1" spans="1:7">
      <c r="A1" s="1"/>
      <c r="B1" s="1"/>
      <c r="C1" s="1"/>
      <c r="D1" s="1"/>
      <c r="E1" s="1"/>
      <c r="F1" s="1"/>
      <c r="G1" s="1"/>
    </row>
    <row r="2" spans="1:7" ht="29" customHeight="1">
      <c r="A2" s="2" t="s">
        <v>537</v>
      </c>
      <c r="B2" s="2"/>
      <c r="C2" s="2"/>
      <c r="D2" s="2"/>
      <c r="E2" s="2"/>
      <c r="F2" s="2"/>
      <c r="G2" s="2"/>
    </row>
    <row r="3" spans="1:7">
      <c r="A3" s="1"/>
      <c r="B3" s="1" t="s">
        <v>538</v>
      </c>
      <c r="C3" s="1"/>
      <c r="D3" s="1"/>
      <c r="E3" s="1"/>
      <c r="F3" s="1"/>
      <c r="G3" s="1"/>
    </row>
    <row r="4" spans="1:7">
      <c r="A4" s="1"/>
      <c r="B4" s="1"/>
      <c r="C4" s="1"/>
      <c r="D4" s="1"/>
      <c r="E4" s="1"/>
      <c r="F4" s="1"/>
      <c r="G4" s="1"/>
    </row>
    <row r="5" spans="1:7" ht="30" customHeight="1">
      <c r="A5" s="4" t="s">
        <v>539</v>
      </c>
      <c r="B5" s="4" t="s">
        <v>305</v>
      </c>
      <c r="C5" s="4" t="s">
        <v>540</v>
      </c>
      <c r="D5" s="4" t="s">
        <v>541</v>
      </c>
      <c r="E5" s="4" t="s">
        <v>542</v>
      </c>
      <c r="F5" s="4" t="s">
        <v>543</v>
      </c>
      <c r="G5" s="4" t="s">
        <v>544</v>
      </c>
    </row>
    <row r="6" spans="1:7" ht="46.5" customHeight="1">
      <c r="A6" s="6" t="s">
        <v>545</v>
      </c>
      <c r="B6" s="6" t="s">
        <v>546</v>
      </c>
      <c r="C6" s="6" t="s">
        <v>547</v>
      </c>
      <c r="D6" s="6">
        <v>5</v>
      </c>
      <c r="E6" s="6" t="s">
        <v>347</v>
      </c>
      <c r="F6" s="6" t="s">
        <v>548</v>
      </c>
      <c r="G6" s="6"/>
    </row>
    <row r="7" spans="1:7" ht="46.5" customHeight="1">
      <c r="A7" s="8" t="s">
        <v>549</v>
      </c>
      <c r="B7" s="8" t="s">
        <v>327</v>
      </c>
      <c r="C7" s="8" t="s">
        <v>550</v>
      </c>
      <c r="D7" s="8">
        <v>5</v>
      </c>
      <c r="E7" s="8" t="s">
        <v>347</v>
      </c>
      <c r="F7" s="8" t="s">
        <v>551</v>
      </c>
      <c r="G7" s="8"/>
    </row>
    <row r="8" spans="1:7" ht="46.5" customHeight="1">
      <c r="A8" s="6" t="s">
        <v>552</v>
      </c>
      <c r="B8" s="6" t="s">
        <v>553</v>
      </c>
      <c r="C8" s="6" t="s">
        <v>554</v>
      </c>
      <c r="D8" s="6">
        <v>5</v>
      </c>
      <c r="E8" s="6" t="s">
        <v>347</v>
      </c>
      <c r="F8" s="6" t="s">
        <v>555</v>
      </c>
      <c r="G8" s="6"/>
    </row>
    <row r="9" spans="1:7" ht="61.5" customHeight="1">
      <c r="A9" s="8" t="s">
        <v>556</v>
      </c>
      <c r="B9" s="8" t="s">
        <v>557</v>
      </c>
      <c r="C9" s="8" t="s">
        <v>558</v>
      </c>
      <c r="D9" s="8">
        <v>5</v>
      </c>
      <c r="E9" s="8" t="s">
        <v>347</v>
      </c>
      <c r="F9" s="8" t="s">
        <v>559</v>
      </c>
      <c r="G9" s="8"/>
    </row>
    <row r="10" spans="1:7" ht="46.5" customHeight="1">
      <c r="A10" s="6" t="s">
        <v>560</v>
      </c>
      <c r="B10" s="6" t="s">
        <v>561</v>
      </c>
      <c r="C10" s="6" t="s">
        <v>562</v>
      </c>
      <c r="D10" s="6">
        <v>5</v>
      </c>
      <c r="E10" s="6" t="s">
        <v>347</v>
      </c>
      <c r="F10" s="6" t="s">
        <v>563</v>
      </c>
      <c r="G10" s="6"/>
    </row>
    <row r="11" spans="1:7" ht="46.5" customHeight="1">
      <c r="A11" s="8" t="s">
        <v>564</v>
      </c>
      <c r="B11" s="8" t="s">
        <v>565</v>
      </c>
      <c r="C11" s="8" t="s">
        <v>566</v>
      </c>
      <c r="D11" s="8">
        <v>5</v>
      </c>
      <c r="E11" s="8" t="s">
        <v>347</v>
      </c>
      <c r="F11" s="8" t="s">
        <v>567</v>
      </c>
      <c r="G11" s="8"/>
    </row>
    <row r="12" spans="1:7" ht="46.5" customHeight="1">
      <c r="A12" s="6" t="s">
        <v>568</v>
      </c>
      <c r="B12" s="6" t="s">
        <v>569</v>
      </c>
      <c r="C12" s="6" t="s">
        <v>570</v>
      </c>
      <c r="D12" s="6">
        <v>5</v>
      </c>
      <c r="E12" s="6" t="s">
        <v>347</v>
      </c>
      <c r="F12" s="6" t="s">
        <v>571</v>
      </c>
      <c r="G12" s="6"/>
    </row>
    <row r="13" spans="1:7" ht="46.5" customHeight="1">
      <c r="A13" s="8" t="s">
        <v>572</v>
      </c>
      <c r="B13" s="8" t="s">
        <v>573</v>
      </c>
      <c r="C13" s="8" t="s">
        <v>574</v>
      </c>
      <c r="D13" s="8">
        <v>5</v>
      </c>
      <c r="E13" s="8" t="s">
        <v>347</v>
      </c>
      <c r="F13" s="8" t="s">
        <v>575</v>
      </c>
      <c r="G13" s="8"/>
    </row>
    <row r="14" spans="1:7" ht="46.5" customHeight="1">
      <c r="A14" s="6" t="s">
        <v>576</v>
      </c>
      <c r="B14" s="6" t="s">
        <v>577</v>
      </c>
      <c r="C14" s="6" t="s">
        <v>578</v>
      </c>
      <c r="D14" s="6">
        <v>5</v>
      </c>
      <c r="E14" s="6" t="s">
        <v>347</v>
      </c>
      <c r="F14" s="6" t="s">
        <v>579</v>
      </c>
      <c r="G14" s="6"/>
    </row>
    <row r="15" spans="1:7" ht="46.5" customHeight="1">
      <c r="A15" s="8" t="s">
        <v>580</v>
      </c>
      <c r="B15" s="8" t="s">
        <v>581</v>
      </c>
      <c r="C15" s="8" t="s">
        <v>582</v>
      </c>
      <c r="D15" s="8">
        <v>5</v>
      </c>
      <c r="E15" s="8" t="s">
        <v>347</v>
      </c>
      <c r="F15" s="8" t="s">
        <v>583</v>
      </c>
      <c r="G15" s="8"/>
    </row>
    <row r="16" spans="1:7" ht="46.5" customHeight="1">
      <c r="A16" s="6" t="s">
        <v>584</v>
      </c>
      <c r="B16" s="6" t="s">
        <v>585</v>
      </c>
      <c r="C16" s="6" t="s">
        <v>586</v>
      </c>
      <c r="D16" s="6">
        <v>2</v>
      </c>
      <c r="E16" s="6" t="s">
        <v>347</v>
      </c>
      <c r="F16" s="6" t="s">
        <v>587</v>
      </c>
      <c r="G16" s="6"/>
    </row>
    <row r="17" spans="1:7" ht="46.5" customHeight="1">
      <c r="A17" s="8" t="s">
        <v>588</v>
      </c>
      <c r="B17" s="8" t="s">
        <v>589</v>
      </c>
      <c r="C17" s="8" t="s">
        <v>590</v>
      </c>
      <c r="D17" s="8">
        <v>1</v>
      </c>
      <c r="E17" s="8" t="s">
        <v>347</v>
      </c>
      <c r="F17" s="8" t="s">
        <v>591</v>
      </c>
      <c r="G17" s="8"/>
    </row>
    <row r="18" spans="1:7" ht="46.5" customHeight="1">
      <c r="A18" s="6" t="s">
        <v>592</v>
      </c>
      <c r="B18" s="6" t="s">
        <v>593</v>
      </c>
      <c r="C18" s="6" t="s">
        <v>594</v>
      </c>
      <c r="D18" s="6">
        <v>1</v>
      </c>
      <c r="E18" s="6" t="s">
        <v>347</v>
      </c>
      <c r="F18" s="6" t="s">
        <v>595</v>
      </c>
      <c r="G18" s="6"/>
    </row>
    <row r="19" spans="1:7" ht="46.5" customHeight="1">
      <c r="A19" s="8" t="s">
        <v>596</v>
      </c>
      <c r="B19" s="8" t="s">
        <v>597</v>
      </c>
      <c r="C19" s="8" t="s">
        <v>598</v>
      </c>
      <c r="D19" s="8">
        <v>1</v>
      </c>
      <c r="E19" s="8" t="s">
        <v>347</v>
      </c>
      <c r="F19" s="8" t="s">
        <v>599</v>
      </c>
      <c r="G19" s="8"/>
    </row>
    <row r="20" spans="1:7" ht="46.5" customHeight="1">
      <c r="A20" s="6" t="s">
        <v>600</v>
      </c>
      <c r="B20" s="6" t="s">
        <v>601</v>
      </c>
      <c r="C20" s="6" t="s">
        <v>602</v>
      </c>
      <c r="D20" s="6">
        <v>2</v>
      </c>
      <c r="E20" s="6" t="s">
        <v>347</v>
      </c>
      <c r="F20" s="6" t="s">
        <v>603</v>
      </c>
      <c r="G20" s="6"/>
    </row>
    <row r="21" spans="1:7" ht="46.5" customHeight="1">
      <c r="A21" s="8" t="s">
        <v>604</v>
      </c>
      <c r="B21" s="8" t="s">
        <v>605</v>
      </c>
      <c r="C21" s="8" t="s">
        <v>606</v>
      </c>
      <c r="D21" s="8">
        <v>1</v>
      </c>
      <c r="E21" s="8" t="s">
        <v>347</v>
      </c>
      <c r="F21" s="8" t="s">
        <v>607</v>
      </c>
      <c r="G21" s="8"/>
    </row>
    <row r="22" spans="1:7" ht="46.5" customHeight="1">
      <c r="A22" s="6" t="s">
        <v>608</v>
      </c>
      <c r="B22" s="6" t="s">
        <v>609</v>
      </c>
      <c r="C22" s="6" t="s">
        <v>610</v>
      </c>
      <c r="D22" s="6">
        <v>5</v>
      </c>
      <c r="E22" s="6" t="s">
        <v>347</v>
      </c>
      <c r="F22" s="6" t="s">
        <v>611</v>
      </c>
      <c r="G22" s="6"/>
    </row>
    <row r="23" spans="1:7" ht="46.5" customHeight="1">
      <c r="A23" s="8" t="s">
        <v>612</v>
      </c>
      <c r="B23" s="8" t="s">
        <v>613</v>
      </c>
      <c r="C23" s="8" t="s">
        <v>614</v>
      </c>
      <c r="D23" s="8">
        <v>1</v>
      </c>
      <c r="E23" s="8" t="s">
        <v>347</v>
      </c>
      <c r="F23" s="8" t="s">
        <v>615</v>
      </c>
      <c r="G23" s="8"/>
    </row>
    <row r="24" spans="1:7" ht="46.5" customHeight="1">
      <c r="A24" s="6" t="s">
        <v>616</v>
      </c>
      <c r="B24" s="6" t="s">
        <v>617</v>
      </c>
      <c r="C24" s="6" t="s">
        <v>618</v>
      </c>
      <c r="D24" s="6">
        <v>1</v>
      </c>
      <c r="E24" s="6" t="s">
        <v>347</v>
      </c>
      <c r="F24" s="6" t="s">
        <v>619</v>
      </c>
      <c r="G24" s="6"/>
    </row>
    <row r="25" spans="1:7" ht="46.5" customHeight="1">
      <c r="A25" s="8" t="s">
        <v>620</v>
      </c>
      <c r="B25" s="8" t="s">
        <v>621</v>
      </c>
      <c r="C25" s="8" t="s">
        <v>622</v>
      </c>
      <c r="D25" s="8">
        <v>5</v>
      </c>
      <c r="E25" s="8" t="s">
        <v>353</v>
      </c>
      <c r="F25" s="8" t="s">
        <v>623</v>
      </c>
      <c r="G25" s="8"/>
    </row>
    <row r="26" spans="1:7" ht="46.5" customHeight="1">
      <c r="A26" s="6" t="s">
        <v>624</v>
      </c>
      <c r="B26" s="6" t="s">
        <v>625</v>
      </c>
      <c r="C26" s="6" t="s">
        <v>626</v>
      </c>
      <c r="D26" s="6">
        <v>1</v>
      </c>
      <c r="E26" s="6" t="s">
        <v>347</v>
      </c>
      <c r="F26" s="6" t="s">
        <v>627</v>
      </c>
      <c r="G26" s="6"/>
    </row>
    <row r="27" spans="1:7" ht="46.5" customHeight="1">
      <c r="A27" s="8" t="s">
        <v>628</v>
      </c>
      <c r="B27" s="8" t="s">
        <v>629</v>
      </c>
      <c r="C27" s="8" t="s">
        <v>630</v>
      </c>
      <c r="D27" s="8">
        <v>2</v>
      </c>
      <c r="E27" s="8" t="s">
        <v>349</v>
      </c>
      <c r="F27" s="8" t="s">
        <v>631</v>
      </c>
      <c r="G27" s="8"/>
    </row>
    <row r="28" spans="1:7" ht="46.5" customHeight="1">
      <c r="A28" s="6" t="s">
        <v>632</v>
      </c>
      <c r="B28" s="6" t="s">
        <v>633</v>
      </c>
      <c r="C28" s="6" t="s">
        <v>634</v>
      </c>
      <c r="D28" s="6">
        <v>5</v>
      </c>
      <c r="E28" s="6" t="s">
        <v>347</v>
      </c>
      <c r="F28" s="6" t="s">
        <v>635</v>
      </c>
      <c r="G28" s="6"/>
    </row>
    <row r="29" spans="1:7" ht="46.5" customHeight="1">
      <c r="A29" s="8" t="s">
        <v>636</v>
      </c>
      <c r="B29" s="8" t="s">
        <v>637</v>
      </c>
      <c r="C29" s="8" t="s">
        <v>638</v>
      </c>
      <c r="D29" s="8">
        <v>2</v>
      </c>
      <c r="E29" s="8" t="s">
        <v>354</v>
      </c>
      <c r="F29" s="8" t="s">
        <v>639</v>
      </c>
      <c r="G29" s="8"/>
    </row>
    <row r="30" spans="1:7" ht="46.5" customHeight="1">
      <c r="A30" s="6" t="s">
        <v>640</v>
      </c>
      <c r="B30" s="6" t="s">
        <v>641</v>
      </c>
      <c r="C30" s="6" t="s">
        <v>642</v>
      </c>
      <c r="D30" s="6">
        <v>5</v>
      </c>
      <c r="E30" s="6" t="s">
        <v>354</v>
      </c>
      <c r="F30" s="6" t="s">
        <v>643</v>
      </c>
      <c r="G30" s="6"/>
    </row>
    <row r="31" spans="1:7" ht="46.5" customHeight="1">
      <c r="A31" s="8" t="s">
        <v>644</v>
      </c>
      <c r="B31" s="8" t="s">
        <v>645</v>
      </c>
      <c r="C31" s="8" t="s">
        <v>646</v>
      </c>
      <c r="D31" s="8">
        <v>1</v>
      </c>
      <c r="E31" s="8" t="s">
        <v>350</v>
      </c>
      <c r="F31" s="8" t="s">
        <v>647</v>
      </c>
      <c r="G31" s="8"/>
    </row>
    <row r="32" spans="1:7" ht="46.5" customHeight="1">
      <c r="A32" s="6" t="s">
        <v>648</v>
      </c>
      <c r="B32" s="6" t="s">
        <v>645</v>
      </c>
      <c r="C32" s="6" t="s">
        <v>649</v>
      </c>
      <c r="D32" s="6">
        <v>2</v>
      </c>
      <c r="E32" s="6" t="s">
        <v>350</v>
      </c>
      <c r="F32" s="6" t="s">
        <v>650</v>
      </c>
      <c r="G32" s="6"/>
    </row>
    <row r="33" spans="1:7" ht="46.5" customHeight="1">
      <c r="A33" s="8" t="s">
        <v>651</v>
      </c>
      <c r="B33" s="8" t="s">
        <v>652</v>
      </c>
      <c r="C33" s="8" t="s">
        <v>653</v>
      </c>
      <c r="D33" s="8">
        <v>2</v>
      </c>
      <c r="E33" s="8" t="s">
        <v>351</v>
      </c>
      <c r="F33" s="8" t="s">
        <v>654</v>
      </c>
      <c r="G33" s="8"/>
    </row>
    <row r="34" spans="1:7" ht="46.5" customHeight="1">
      <c r="A34" s="6" t="s">
        <v>655</v>
      </c>
      <c r="B34" s="6" t="s">
        <v>656</v>
      </c>
      <c r="C34" s="6" t="s">
        <v>657</v>
      </c>
      <c r="D34" s="6"/>
      <c r="E34" s="6" t="s">
        <v>658</v>
      </c>
      <c r="F34" s="6" t="s">
        <v>659</v>
      </c>
      <c r="G34" s="6" t="s">
        <v>660</v>
      </c>
    </row>
    <row r="35" spans="1:7" ht="46.5" customHeight="1">
      <c r="A35" s="8" t="s">
        <v>661</v>
      </c>
      <c r="B35" s="8" t="s">
        <v>662</v>
      </c>
      <c r="C35" s="8" t="s">
        <v>663</v>
      </c>
      <c r="D35" s="8"/>
      <c r="E35" s="8" t="s">
        <v>658</v>
      </c>
      <c r="F35" s="8" t="s">
        <v>664</v>
      </c>
      <c r="G35" s="8" t="s">
        <v>665</v>
      </c>
    </row>
    <row r="36" spans="1:7" ht="46.5" customHeight="1">
      <c r="A36" s="6" t="s">
        <v>666</v>
      </c>
      <c r="B36" s="6" t="s">
        <v>667</v>
      </c>
      <c r="C36" s="6" t="s">
        <v>668</v>
      </c>
      <c r="D36" s="6"/>
      <c r="E36" s="6" t="s">
        <v>658</v>
      </c>
      <c r="F36" s="6" t="s">
        <v>669</v>
      </c>
      <c r="G36" s="6" t="s">
        <v>670</v>
      </c>
    </row>
    <row r="37" spans="1:7" ht="46.5" customHeight="1">
      <c r="A37" s="8" t="s">
        <v>671</v>
      </c>
      <c r="B37" s="8" t="s">
        <v>672</v>
      </c>
      <c r="C37" s="8" t="s">
        <v>673</v>
      </c>
      <c r="D37" s="8"/>
      <c r="E37" s="8" t="s">
        <v>658</v>
      </c>
      <c r="F37" s="8" t="s">
        <v>674</v>
      </c>
      <c r="G37" s="8" t="s">
        <v>675</v>
      </c>
    </row>
    <row r="38" spans="1:7" ht="46.5" customHeight="1">
      <c r="A38" s="6" t="s">
        <v>676</v>
      </c>
      <c r="B38" s="6" t="s">
        <v>677</v>
      </c>
      <c r="C38" s="6" t="s">
        <v>678</v>
      </c>
      <c r="D38" s="6"/>
      <c r="E38" s="6" t="s">
        <v>658</v>
      </c>
      <c r="F38" s="6" t="s">
        <v>679</v>
      </c>
      <c r="G38" s="6" t="s">
        <v>680</v>
      </c>
    </row>
    <row r="39" spans="1:7" ht="46.5" customHeight="1">
      <c r="A39" s="8" t="s">
        <v>681</v>
      </c>
      <c r="B39" s="8" t="s">
        <v>682</v>
      </c>
      <c r="C39" s="8" t="s">
        <v>683</v>
      </c>
      <c r="D39" s="8"/>
      <c r="E39" s="8" t="s">
        <v>658</v>
      </c>
      <c r="F39" s="8" t="s">
        <v>684</v>
      </c>
      <c r="G39" s="8" t="s">
        <v>685</v>
      </c>
    </row>
    <row r="40" spans="1:7" ht="46.5" customHeight="1">
      <c r="A40" s="6" t="s">
        <v>686</v>
      </c>
      <c r="B40" s="6" t="s">
        <v>687</v>
      </c>
      <c r="C40" s="6" t="s">
        <v>688</v>
      </c>
      <c r="D40" s="6"/>
      <c r="E40" s="6" t="s">
        <v>658</v>
      </c>
      <c r="F40" s="6" t="s">
        <v>689</v>
      </c>
      <c r="G40" s="6" t="s">
        <v>690</v>
      </c>
    </row>
    <row r="41" spans="1:7" ht="46.5" customHeight="1">
      <c r="A41" s="8" t="s">
        <v>691</v>
      </c>
      <c r="B41" s="8" t="s">
        <v>692</v>
      </c>
      <c r="C41" s="8" t="s">
        <v>693</v>
      </c>
      <c r="D41" s="8"/>
      <c r="E41" s="8" t="s">
        <v>658</v>
      </c>
      <c r="F41" s="8" t="s">
        <v>694</v>
      </c>
      <c r="G41" s="8" t="s">
        <v>695</v>
      </c>
    </row>
    <row r="42" spans="1:7" ht="46.5" customHeight="1">
      <c r="A42" s="6" t="s">
        <v>696</v>
      </c>
      <c r="B42" s="6" t="s">
        <v>697</v>
      </c>
      <c r="C42" s="6" t="s">
        <v>698</v>
      </c>
      <c r="D42" s="6"/>
      <c r="E42" s="6" t="s">
        <v>658</v>
      </c>
      <c r="F42" s="6" t="s">
        <v>699</v>
      </c>
      <c r="G42" s="6" t="s">
        <v>700</v>
      </c>
    </row>
    <row r="43" spans="1:7" ht="46.5" customHeight="1">
      <c r="A43" s="8" t="s">
        <v>701</v>
      </c>
      <c r="B43" s="8" t="s">
        <v>702</v>
      </c>
      <c r="C43" s="8" t="s">
        <v>703</v>
      </c>
      <c r="D43" s="8"/>
      <c r="E43" s="8" t="s">
        <v>658</v>
      </c>
      <c r="F43" s="8" t="s">
        <v>704</v>
      </c>
      <c r="G43" s="8" t="s">
        <v>705</v>
      </c>
    </row>
    <row r="44" spans="1:7" ht="46.5" customHeight="1">
      <c r="A44" s="6" t="s">
        <v>706</v>
      </c>
      <c r="B44" s="6" t="s">
        <v>707</v>
      </c>
      <c r="C44" s="6" t="s">
        <v>708</v>
      </c>
      <c r="D44" s="6"/>
      <c r="E44" s="6" t="s">
        <v>709</v>
      </c>
      <c r="F44" s="6" t="s">
        <v>710</v>
      </c>
      <c r="G44" s="6" t="s">
        <v>711</v>
      </c>
    </row>
    <row r="45" spans="1:7" ht="46.5" customHeight="1">
      <c r="A45" s="8" t="s">
        <v>712</v>
      </c>
      <c r="B45" s="8" t="s">
        <v>713</v>
      </c>
      <c r="C45" s="8" t="s">
        <v>714</v>
      </c>
      <c r="D45" s="8"/>
      <c r="E45" s="8" t="s">
        <v>709</v>
      </c>
      <c r="F45" s="8" t="s">
        <v>715</v>
      </c>
      <c r="G45" s="8" t="s">
        <v>716</v>
      </c>
    </row>
    <row r="46" spans="1:7" ht="46.5" customHeight="1">
      <c r="A46" s="6" t="s">
        <v>717</v>
      </c>
      <c r="B46" s="6" t="s">
        <v>718</v>
      </c>
      <c r="C46" s="6" t="s">
        <v>719</v>
      </c>
      <c r="D46" s="6"/>
      <c r="E46" s="6" t="s">
        <v>709</v>
      </c>
      <c r="F46" s="6" t="s">
        <v>720</v>
      </c>
      <c r="G46" s="6" t="s">
        <v>721</v>
      </c>
    </row>
    <row r="47" spans="1:7" ht="46.5" customHeight="1">
      <c r="A47" s="8" t="s">
        <v>722</v>
      </c>
      <c r="B47" s="8" t="s">
        <v>723</v>
      </c>
      <c r="C47" s="8" t="s">
        <v>724</v>
      </c>
      <c r="D47" s="8"/>
      <c r="E47" s="8" t="s">
        <v>709</v>
      </c>
      <c r="F47" s="8" t="s">
        <v>725</v>
      </c>
      <c r="G47" s="8" t="s">
        <v>726</v>
      </c>
    </row>
    <row r="48" spans="1:7" ht="46.5" customHeight="1">
      <c r="A48" s="6" t="s">
        <v>727</v>
      </c>
      <c r="B48" s="6" t="s">
        <v>728</v>
      </c>
      <c r="C48" s="6" t="s">
        <v>729</v>
      </c>
      <c r="D48" s="6"/>
      <c r="E48" s="6" t="s">
        <v>730</v>
      </c>
      <c r="F48" s="6" t="s">
        <v>731</v>
      </c>
      <c r="G48" s="6" t="s">
        <v>732</v>
      </c>
    </row>
    <row r="49" spans="1:7" ht="46.5" customHeight="1">
      <c r="A49" s="8" t="s">
        <v>733</v>
      </c>
      <c r="B49" s="8" t="s">
        <v>728</v>
      </c>
      <c r="C49" s="8" t="s">
        <v>734</v>
      </c>
      <c r="D49" s="8"/>
      <c r="E49" s="8" t="s">
        <v>735</v>
      </c>
      <c r="F49" s="8" t="s">
        <v>736</v>
      </c>
      <c r="G49" s="8" t="s">
        <v>737</v>
      </c>
    </row>
    <row r="50" spans="1:7" ht="46.5" customHeight="1">
      <c r="A50" s="6" t="s">
        <v>738</v>
      </c>
      <c r="B50" s="6" t="s">
        <v>739</v>
      </c>
      <c r="C50" s="6" t="s">
        <v>740</v>
      </c>
      <c r="D50" s="6"/>
      <c r="E50" s="6" t="s">
        <v>741</v>
      </c>
      <c r="F50" s="6" t="s">
        <v>742</v>
      </c>
      <c r="G50" s="6" t="s">
        <v>743</v>
      </c>
    </row>
    <row r="51" spans="1:7" ht="46.5" customHeight="1">
      <c r="A51" s="8" t="s">
        <v>744</v>
      </c>
      <c r="B51" s="8" t="s">
        <v>745</v>
      </c>
      <c r="C51" s="8" t="s">
        <v>746</v>
      </c>
      <c r="D51" s="8"/>
      <c r="E51" s="8" t="s">
        <v>747</v>
      </c>
      <c r="F51" s="8" t="s">
        <v>748</v>
      </c>
      <c r="G51" s="8" t="s">
        <v>749</v>
      </c>
    </row>
    <row r="52" spans="1:7" ht="46.5" customHeight="1">
      <c r="A52" s="6" t="s">
        <v>750</v>
      </c>
      <c r="B52" s="6" t="s">
        <v>751</v>
      </c>
      <c r="C52" s="6" t="s">
        <v>752</v>
      </c>
      <c r="D52" s="6"/>
      <c r="E52" s="6" t="s">
        <v>753</v>
      </c>
      <c r="F52" s="6" t="s">
        <v>754</v>
      </c>
      <c r="G52" s="6" t="s">
        <v>755</v>
      </c>
    </row>
    <row r="53" spans="1:7" ht="46.5" customHeight="1">
      <c r="A53" s="8" t="s">
        <v>756</v>
      </c>
      <c r="B53" s="8" t="s">
        <v>757</v>
      </c>
      <c r="C53" s="8" t="s">
        <v>758</v>
      </c>
      <c r="D53" s="8"/>
      <c r="E53" s="8" t="s">
        <v>759</v>
      </c>
      <c r="F53" s="8" t="s">
        <v>760</v>
      </c>
      <c r="G53" s="8" t="s">
        <v>761</v>
      </c>
    </row>
    <row r="54" spans="1:7" ht="46.5" customHeight="1">
      <c r="A54" s="6" t="s">
        <v>762</v>
      </c>
      <c r="B54" s="6" t="s">
        <v>763</v>
      </c>
      <c r="C54" s="6" t="s">
        <v>764</v>
      </c>
      <c r="D54" s="6"/>
      <c r="E54" s="6" t="s">
        <v>765</v>
      </c>
      <c r="F54" s="6" t="s">
        <v>766</v>
      </c>
      <c r="G54" s="6" t="s">
        <v>767</v>
      </c>
    </row>
    <row r="55" spans="1:7" ht="46.5" customHeight="1">
      <c r="A55" s="8" t="s">
        <v>768</v>
      </c>
      <c r="B55" s="8" t="s">
        <v>769</v>
      </c>
      <c r="C55" s="8" t="s">
        <v>770</v>
      </c>
      <c r="D55" s="8"/>
      <c r="E55" s="8" t="s">
        <v>765</v>
      </c>
      <c r="F55" s="8" t="s">
        <v>771</v>
      </c>
      <c r="G55" s="8" t="s">
        <v>772</v>
      </c>
    </row>
    <row r="56" spans="1:7" ht="46.5" customHeight="1">
      <c r="A56" s="6" t="s">
        <v>773</v>
      </c>
      <c r="B56" s="6" t="s">
        <v>774</v>
      </c>
      <c r="C56" s="6" t="s">
        <v>775</v>
      </c>
      <c r="D56" s="6"/>
      <c r="E56" s="6" t="s">
        <v>765</v>
      </c>
      <c r="F56" s="6" t="s">
        <v>776</v>
      </c>
      <c r="G56" s="6" t="s">
        <v>777</v>
      </c>
    </row>
    <row r="57" spans="1:7" ht="46.5" customHeight="1">
      <c r="A57" s="8" t="s">
        <v>778</v>
      </c>
      <c r="B57" s="8" t="s">
        <v>779</v>
      </c>
      <c r="C57" s="8" t="s">
        <v>780</v>
      </c>
      <c r="D57" s="8"/>
      <c r="E57" s="8" t="s">
        <v>781</v>
      </c>
      <c r="F57" s="8" t="s">
        <v>782</v>
      </c>
      <c r="G57" s="8" t="s">
        <v>783</v>
      </c>
    </row>
    <row r="58" spans="1:7" ht="46.5" customHeight="1">
      <c r="A58" s="6" t="s">
        <v>784</v>
      </c>
      <c r="B58" s="6" t="s">
        <v>785</v>
      </c>
      <c r="C58" s="6" t="s">
        <v>786</v>
      </c>
      <c r="D58" s="6"/>
      <c r="E58" s="6" t="s">
        <v>787</v>
      </c>
      <c r="F58" s="6" t="s">
        <v>788</v>
      </c>
      <c r="G58" s="6" t="s">
        <v>789</v>
      </c>
    </row>
    <row r="59" spans="1:7" ht="46.5" customHeight="1">
      <c r="A59" s="8" t="s">
        <v>790</v>
      </c>
      <c r="B59" s="8" t="s">
        <v>791</v>
      </c>
      <c r="C59" s="8" t="s">
        <v>792</v>
      </c>
      <c r="D59" s="8"/>
      <c r="E59" s="8" t="s">
        <v>787</v>
      </c>
      <c r="F59" s="8" t="s">
        <v>793</v>
      </c>
      <c r="G59" s="8" t="s">
        <v>794</v>
      </c>
    </row>
    <row r="60" spans="1:7" ht="46.5" customHeight="1">
      <c r="A60" s="6" t="s">
        <v>795</v>
      </c>
      <c r="B60" s="6" t="s">
        <v>796</v>
      </c>
      <c r="C60" s="6" t="s">
        <v>797</v>
      </c>
      <c r="D60" s="6"/>
      <c r="E60" s="6" t="s">
        <v>658</v>
      </c>
      <c r="F60" s="6" t="s">
        <v>798</v>
      </c>
      <c r="G60" s="6" t="s">
        <v>799</v>
      </c>
    </row>
    <row r="61" spans="1:7" ht="46.5" customHeight="1">
      <c r="A61" s="8" t="s">
        <v>800</v>
      </c>
      <c r="B61" s="8" t="s">
        <v>801</v>
      </c>
      <c r="C61" s="8" t="s">
        <v>802</v>
      </c>
      <c r="D61" s="8"/>
      <c r="E61" s="8" t="s">
        <v>658</v>
      </c>
      <c r="F61" s="8" t="s">
        <v>803</v>
      </c>
      <c r="G61" s="8" t="s">
        <v>804</v>
      </c>
    </row>
    <row r="62" spans="1:7">
      <c r="A62" s="1"/>
      <c r="B62" s="1"/>
      <c r="C62" s="1"/>
      <c r="D62" s="1"/>
      <c r="E62" s="1"/>
      <c r="F62" s="1"/>
      <c r="G62" s="1"/>
    </row>
    <row r="63" spans="1:7">
      <c r="A63" s="1"/>
      <c r="B63" s="1"/>
      <c r="C63" s="1"/>
      <c r="D63" s="1"/>
      <c r="E63" s="1"/>
      <c r="F63" s="1"/>
      <c r="G63" s="1"/>
    </row>
    <row r="64" spans="1:7">
      <c r="A64" s="1"/>
      <c r="B64" s="1"/>
      <c r="C64" s="1"/>
      <c r="D64" s="1"/>
      <c r="E64" s="1"/>
      <c r="F64" s="1"/>
      <c r="G64" s="1"/>
    </row>
    <row r="65" spans="1:7">
      <c r="A65" s="1"/>
      <c r="B65" s="1"/>
      <c r="C65" s="1"/>
      <c r="D65" s="1"/>
      <c r="E65" s="1"/>
      <c r="F65" s="1"/>
      <c r="G65" s="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65"/>
  <sheetViews>
    <sheetView showGridLines="0" workbookViewId="0">
      <pane xSplit="1" ySplit="5" topLeftCell="B6" activePane="bottomRight" state="frozen"/>
      <selection pane="topRight"/>
      <selection pane="bottomLeft"/>
      <selection pane="bottomRight" activeCell="B6" sqref="B6"/>
    </sheetView>
  </sheetViews>
  <sheetFormatPr baseColWidth="10" defaultColWidth="8.83203125" defaultRowHeight="14"/>
  <cols>
    <col min="1" max="1" width="10.5" customWidth="1"/>
    <col min="2" max="2" width="25.5" customWidth="1"/>
    <col min="3" max="3" width="86.6640625" customWidth="1"/>
    <col min="4" max="4" width="45.5" customWidth="1"/>
  </cols>
  <sheetData>
    <row r="1" spans="1:4">
      <c r="A1" s="1"/>
      <c r="B1" s="1"/>
      <c r="C1" s="1"/>
      <c r="D1" s="1"/>
    </row>
    <row r="2" spans="1:4" ht="29" customHeight="1">
      <c r="A2" s="2" t="s">
        <v>805</v>
      </c>
      <c r="B2" s="2"/>
      <c r="C2" s="2"/>
      <c r="D2" s="2"/>
    </row>
    <row r="3" spans="1:4">
      <c r="A3" s="1"/>
      <c r="B3" s="1"/>
      <c r="C3" s="1"/>
      <c r="D3" s="1"/>
    </row>
    <row r="4" spans="1:4">
      <c r="A4" s="1"/>
      <c r="B4" s="1"/>
      <c r="C4" s="1"/>
      <c r="D4" s="1"/>
    </row>
    <row r="5" spans="1:4" ht="30" customHeight="1">
      <c r="A5" s="4" t="s">
        <v>806</v>
      </c>
      <c r="B5" s="4" t="s">
        <v>807</v>
      </c>
      <c r="C5" s="4" t="s">
        <v>808</v>
      </c>
      <c r="D5" s="4" t="s">
        <v>809</v>
      </c>
    </row>
    <row r="6" spans="1:4" ht="61.5" customHeight="1">
      <c r="A6" s="6" t="s">
        <v>810</v>
      </c>
      <c r="B6" s="6" t="s">
        <v>811</v>
      </c>
      <c r="C6" s="6" t="s">
        <v>812</v>
      </c>
      <c r="D6" s="6" t="s">
        <v>813</v>
      </c>
    </row>
    <row r="7" spans="1:4" ht="76.5" customHeight="1">
      <c r="A7" s="8" t="s">
        <v>814</v>
      </c>
      <c r="B7" s="8" t="s">
        <v>815</v>
      </c>
      <c r="C7" s="8" t="s">
        <v>816</v>
      </c>
      <c r="D7" s="8"/>
    </row>
    <row r="8" spans="1:4" ht="76.5" customHeight="1">
      <c r="A8" s="6" t="s">
        <v>817</v>
      </c>
      <c r="B8" s="6" t="s">
        <v>818</v>
      </c>
      <c r="C8" s="6" t="s">
        <v>819</v>
      </c>
      <c r="D8" s="6" t="s">
        <v>820</v>
      </c>
    </row>
    <row r="9" spans="1:4" ht="76.5" customHeight="1">
      <c r="A9" s="8" t="s">
        <v>821</v>
      </c>
      <c r="B9" s="8" t="s">
        <v>822</v>
      </c>
      <c r="C9" s="8" t="s">
        <v>823</v>
      </c>
      <c r="D9" s="8" t="s">
        <v>824</v>
      </c>
    </row>
    <row r="10" spans="1:4" ht="76.5" customHeight="1">
      <c r="A10" s="6" t="s">
        <v>825</v>
      </c>
      <c r="B10" s="6" t="s">
        <v>826</v>
      </c>
      <c r="C10" s="6" t="s">
        <v>827</v>
      </c>
      <c r="D10" s="6"/>
    </row>
    <row r="11" spans="1:4" ht="61.5" customHeight="1">
      <c r="A11" s="8" t="s">
        <v>828</v>
      </c>
      <c r="B11" s="8" t="s">
        <v>829</v>
      </c>
      <c r="C11" s="8" t="s">
        <v>830</v>
      </c>
      <c r="D11" s="8"/>
    </row>
    <row r="12" spans="1:4" ht="76.5" customHeight="1">
      <c r="A12" s="6" t="s">
        <v>831</v>
      </c>
      <c r="B12" s="6" t="s">
        <v>832</v>
      </c>
      <c r="C12" s="6" t="s">
        <v>833</v>
      </c>
      <c r="D12" s="6"/>
    </row>
    <row r="13" spans="1:4" ht="76.5" customHeight="1">
      <c r="A13" s="8" t="s">
        <v>834</v>
      </c>
      <c r="B13" s="8" t="s">
        <v>835</v>
      </c>
      <c r="C13" s="8" t="s">
        <v>836</v>
      </c>
      <c r="D13" s="8"/>
    </row>
    <row r="14" spans="1:4" ht="61.5" customHeight="1">
      <c r="A14" s="6" t="s">
        <v>837</v>
      </c>
      <c r="B14" s="6" t="s">
        <v>838</v>
      </c>
      <c r="C14" s="6" t="s">
        <v>839</v>
      </c>
      <c r="D14" s="6"/>
    </row>
    <row r="15" spans="1:4" ht="61.5" customHeight="1">
      <c r="A15" s="8" t="s">
        <v>840</v>
      </c>
      <c r="B15" s="8" t="s">
        <v>841</v>
      </c>
      <c r="C15" s="8" t="s">
        <v>842</v>
      </c>
      <c r="D15" s="8"/>
    </row>
    <row r="16" spans="1:4" ht="46.5" customHeight="1">
      <c r="A16" s="6" t="s">
        <v>843</v>
      </c>
      <c r="B16" s="6" t="s">
        <v>844</v>
      </c>
      <c r="C16" s="6" t="s">
        <v>845</v>
      </c>
      <c r="D16" s="6"/>
    </row>
    <row r="17" spans="1:4" ht="76.5" customHeight="1">
      <c r="A17" s="8" t="s">
        <v>846</v>
      </c>
      <c r="B17" s="8" t="s">
        <v>6</v>
      </c>
      <c r="C17" s="8" t="s">
        <v>847</v>
      </c>
      <c r="D17" s="8"/>
    </row>
    <row r="18" spans="1:4">
      <c r="A18" s="1"/>
      <c r="B18" s="1"/>
      <c r="C18" s="1"/>
      <c r="D18" s="1"/>
    </row>
    <row r="19" spans="1:4">
      <c r="A19" s="1"/>
      <c r="B19" s="1"/>
      <c r="C19" s="1"/>
      <c r="D19" s="1"/>
    </row>
    <row r="20" spans="1:4" ht="30" customHeight="1">
      <c r="A20" s="4" t="s">
        <v>806</v>
      </c>
      <c r="B20" s="4" t="s">
        <v>848</v>
      </c>
      <c r="C20" s="4" t="s">
        <v>849</v>
      </c>
      <c r="D20" s="4" t="s">
        <v>850</v>
      </c>
    </row>
    <row r="21" spans="1:4" ht="46.5" customHeight="1">
      <c r="A21" s="6" t="s">
        <v>851</v>
      </c>
      <c r="B21" s="6" t="s">
        <v>852</v>
      </c>
      <c r="C21" s="6" t="s">
        <v>853</v>
      </c>
      <c r="D21" s="6" t="s">
        <v>854</v>
      </c>
    </row>
    <row r="22" spans="1:4" ht="31.5" customHeight="1">
      <c r="A22" s="8" t="s">
        <v>855</v>
      </c>
      <c r="B22" s="8" t="s">
        <v>856</v>
      </c>
      <c r="C22" s="8" t="s">
        <v>857</v>
      </c>
      <c r="D22" s="8" t="s">
        <v>858</v>
      </c>
    </row>
    <row r="23" spans="1:4" ht="46.5" customHeight="1">
      <c r="A23" s="6" t="s">
        <v>859</v>
      </c>
      <c r="B23" s="6" t="s">
        <v>860</v>
      </c>
      <c r="C23" s="6" t="s">
        <v>861</v>
      </c>
      <c r="D23" s="6" t="s">
        <v>862</v>
      </c>
    </row>
    <row r="24" spans="1:4" ht="46.5" customHeight="1">
      <c r="A24" s="8" t="s">
        <v>863</v>
      </c>
      <c r="B24" s="8" t="s">
        <v>864</v>
      </c>
      <c r="C24" s="8" t="s">
        <v>865</v>
      </c>
      <c r="D24" s="8" t="s">
        <v>866</v>
      </c>
    </row>
    <row r="25" spans="1:4" ht="46.5" customHeight="1">
      <c r="A25" s="6" t="s">
        <v>867</v>
      </c>
      <c r="B25" s="6" t="s">
        <v>868</v>
      </c>
      <c r="C25" s="6" t="s">
        <v>865</v>
      </c>
      <c r="D25" s="6" t="s">
        <v>869</v>
      </c>
    </row>
    <row r="26" spans="1:4" ht="46.5" customHeight="1">
      <c r="A26" s="8" t="s">
        <v>870</v>
      </c>
      <c r="B26" s="8" t="s">
        <v>871</v>
      </c>
      <c r="C26" s="8" t="s">
        <v>872</v>
      </c>
      <c r="D26" s="8" t="s">
        <v>873</v>
      </c>
    </row>
    <row r="27" spans="1:4" ht="46.5" customHeight="1">
      <c r="A27" s="6" t="s">
        <v>46</v>
      </c>
      <c r="B27" s="6" t="s">
        <v>874</v>
      </c>
      <c r="C27" s="6" t="s">
        <v>875</v>
      </c>
      <c r="D27" s="6" t="s">
        <v>876</v>
      </c>
    </row>
    <row r="28" spans="1:4">
      <c r="A28" s="1"/>
      <c r="B28" s="1"/>
      <c r="C28" s="1"/>
      <c r="D28" s="1"/>
    </row>
    <row r="29" spans="1:4">
      <c r="A29" s="1"/>
      <c r="B29" s="1"/>
      <c r="C29" s="1"/>
      <c r="D29" s="1"/>
    </row>
    <row r="30" spans="1:4" ht="30" customHeight="1">
      <c r="A30" s="4" t="s">
        <v>877</v>
      </c>
      <c r="B30" s="4" t="s">
        <v>305</v>
      </c>
      <c r="C30" s="4" t="s">
        <v>878</v>
      </c>
      <c r="D30" s="4" t="s">
        <v>14</v>
      </c>
    </row>
    <row r="31" spans="1:4" ht="46.5" customHeight="1">
      <c r="A31" s="6" t="s">
        <v>879</v>
      </c>
      <c r="B31" s="6" t="s">
        <v>314</v>
      </c>
      <c r="C31" s="6" t="s">
        <v>880</v>
      </c>
      <c r="D31" s="6" t="s">
        <v>881</v>
      </c>
    </row>
    <row r="32" spans="1:4" ht="46.5" customHeight="1">
      <c r="A32" s="8" t="s">
        <v>882</v>
      </c>
      <c r="B32" s="8" t="s">
        <v>315</v>
      </c>
      <c r="C32" s="8" t="s">
        <v>883</v>
      </c>
      <c r="D32" s="8" t="s">
        <v>881</v>
      </c>
    </row>
    <row r="33" spans="1:4" ht="46.5" customHeight="1">
      <c r="A33" s="6" t="s">
        <v>884</v>
      </c>
      <c r="B33" s="6" t="s">
        <v>316</v>
      </c>
      <c r="C33" s="6" t="s">
        <v>885</v>
      </c>
      <c r="D33" s="6" t="s">
        <v>881</v>
      </c>
    </row>
    <row r="34" spans="1:4" ht="46.5" customHeight="1">
      <c r="A34" s="8" t="s">
        <v>886</v>
      </c>
      <c r="B34" s="8" t="s">
        <v>317</v>
      </c>
      <c r="C34" s="8" t="s">
        <v>887</v>
      </c>
      <c r="D34" s="8" t="s">
        <v>881</v>
      </c>
    </row>
    <row r="35" spans="1:4" ht="46.5" customHeight="1">
      <c r="A35" s="6" t="s">
        <v>888</v>
      </c>
      <c r="B35" s="6" t="s">
        <v>318</v>
      </c>
      <c r="C35" s="6" t="s">
        <v>889</v>
      </c>
      <c r="D35" s="6" t="s">
        <v>881</v>
      </c>
    </row>
    <row r="36" spans="1:4" ht="46.5" customHeight="1">
      <c r="A36" s="8" t="s">
        <v>890</v>
      </c>
      <c r="B36" s="8" t="s">
        <v>319</v>
      </c>
      <c r="C36" s="8" t="s">
        <v>891</v>
      </c>
      <c r="D36" s="8" t="s">
        <v>881</v>
      </c>
    </row>
    <row r="37" spans="1:4" ht="46.5" customHeight="1">
      <c r="A37" s="6" t="s">
        <v>892</v>
      </c>
      <c r="B37" s="6" t="s">
        <v>320</v>
      </c>
      <c r="C37" s="6" t="s">
        <v>893</v>
      </c>
      <c r="D37" s="6" t="s">
        <v>881</v>
      </c>
    </row>
    <row r="38" spans="1:4" ht="46.5" customHeight="1">
      <c r="A38" s="8" t="s">
        <v>894</v>
      </c>
      <c r="B38" s="8" t="s">
        <v>321</v>
      </c>
      <c r="C38" s="8" t="s">
        <v>895</v>
      </c>
      <c r="D38" s="8" t="s">
        <v>881</v>
      </c>
    </row>
    <row r="39" spans="1:4" ht="46.5" customHeight="1">
      <c r="A39" s="6" t="s">
        <v>896</v>
      </c>
      <c r="B39" s="6" t="s">
        <v>322</v>
      </c>
      <c r="C39" s="6" t="s">
        <v>897</v>
      </c>
      <c r="D39" s="6" t="s">
        <v>881</v>
      </c>
    </row>
    <row r="40" spans="1:4" ht="46.5" customHeight="1">
      <c r="A40" s="8" t="s">
        <v>898</v>
      </c>
      <c r="B40" s="8" t="s">
        <v>323</v>
      </c>
      <c r="C40" s="8" t="s">
        <v>899</v>
      </c>
      <c r="D40" s="8" t="s">
        <v>881</v>
      </c>
    </row>
    <row r="41" spans="1:4" ht="46.5" customHeight="1">
      <c r="A41" s="6" t="s">
        <v>900</v>
      </c>
      <c r="B41" s="6" t="s">
        <v>324</v>
      </c>
      <c r="C41" s="6" t="s">
        <v>901</v>
      </c>
      <c r="D41" s="6" t="s">
        <v>881</v>
      </c>
    </row>
    <row r="42" spans="1:4" ht="46.5" customHeight="1">
      <c r="A42" s="8" t="s">
        <v>902</v>
      </c>
      <c r="B42" s="8" t="s">
        <v>325</v>
      </c>
      <c r="C42" s="8" t="s">
        <v>903</v>
      </c>
      <c r="D42" s="8" t="s">
        <v>881</v>
      </c>
    </row>
    <row r="43" spans="1:4" ht="46.5" customHeight="1">
      <c r="A43" s="6" t="s">
        <v>904</v>
      </c>
      <c r="B43" s="6" t="s">
        <v>326</v>
      </c>
      <c r="C43" s="6" t="s">
        <v>905</v>
      </c>
      <c r="D43" s="6" t="s">
        <v>881</v>
      </c>
    </row>
    <row r="44" spans="1:4" ht="46.5" customHeight="1">
      <c r="A44" s="8" t="s">
        <v>906</v>
      </c>
      <c r="B44" s="8" t="s">
        <v>327</v>
      </c>
      <c r="C44" s="8" t="s">
        <v>907</v>
      </c>
      <c r="D44" s="8" t="s">
        <v>881</v>
      </c>
    </row>
    <row r="45" spans="1:4" ht="46.5" customHeight="1">
      <c r="A45" s="6" t="s">
        <v>908</v>
      </c>
      <c r="B45" s="6" t="s">
        <v>328</v>
      </c>
      <c r="C45" s="6" t="s">
        <v>909</v>
      </c>
      <c r="D45" s="6" t="s">
        <v>881</v>
      </c>
    </row>
    <row r="46" spans="1:4" ht="46.5" customHeight="1">
      <c r="A46" s="8" t="s">
        <v>910</v>
      </c>
      <c r="B46" s="8" t="s">
        <v>329</v>
      </c>
      <c r="C46" s="8" t="s">
        <v>911</v>
      </c>
      <c r="D46" s="8" t="s">
        <v>881</v>
      </c>
    </row>
    <row r="47" spans="1:4" ht="46.5" customHeight="1">
      <c r="A47" s="6" t="s">
        <v>912</v>
      </c>
      <c r="B47" s="6" t="s">
        <v>330</v>
      </c>
      <c r="C47" s="6" t="s">
        <v>913</v>
      </c>
      <c r="D47" s="6" t="s">
        <v>881</v>
      </c>
    </row>
    <row r="48" spans="1:4" ht="46.5" customHeight="1">
      <c r="A48" s="8" t="s">
        <v>914</v>
      </c>
      <c r="B48" s="8" t="s">
        <v>331</v>
      </c>
      <c r="C48" s="8" t="s">
        <v>915</v>
      </c>
      <c r="D48" s="8" t="s">
        <v>881</v>
      </c>
    </row>
    <row r="49" spans="1:4" ht="46.5" customHeight="1">
      <c r="A49" s="6" t="s">
        <v>916</v>
      </c>
      <c r="B49" s="6" t="s">
        <v>332</v>
      </c>
      <c r="C49" s="6" t="s">
        <v>917</v>
      </c>
      <c r="D49" s="6" t="s">
        <v>881</v>
      </c>
    </row>
    <row r="50" spans="1:4" ht="46.5" customHeight="1">
      <c r="A50" s="8" t="s">
        <v>918</v>
      </c>
      <c r="B50" s="8" t="s">
        <v>333</v>
      </c>
      <c r="C50" s="8" t="s">
        <v>919</v>
      </c>
      <c r="D50" s="8" t="s">
        <v>881</v>
      </c>
    </row>
    <row r="51" spans="1:4" ht="46.5" customHeight="1">
      <c r="A51" s="6" t="s">
        <v>920</v>
      </c>
      <c r="B51" s="6" t="s">
        <v>334</v>
      </c>
      <c r="C51" s="6" t="s">
        <v>921</v>
      </c>
      <c r="D51" s="6" t="s">
        <v>881</v>
      </c>
    </row>
    <row r="52" spans="1:4" ht="46.5" customHeight="1">
      <c r="A52" s="8" t="s">
        <v>922</v>
      </c>
      <c r="B52" s="8" t="s">
        <v>335</v>
      </c>
      <c r="C52" s="8" t="s">
        <v>923</v>
      </c>
      <c r="D52" s="8" t="s">
        <v>881</v>
      </c>
    </row>
    <row r="53" spans="1:4" ht="46.5" customHeight="1">
      <c r="A53" s="6" t="s">
        <v>924</v>
      </c>
      <c r="B53" s="6" t="s">
        <v>336</v>
      </c>
      <c r="C53" s="6" t="s">
        <v>925</v>
      </c>
      <c r="D53" s="6" t="s">
        <v>881</v>
      </c>
    </row>
    <row r="54" spans="1:4">
      <c r="A54" s="1"/>
      <c r="B54" s="1"/>
      <c r="C54" s="1"/>
      <c r="D54" s="1"/>
    </row>
    <row r="55" spans="1:4">
      <c r="A55" s="1"/>
      <c r="B55" s="1"/>
      <c r="C55" s="1"/>
      <c r="D55" s="1"/>
    </row>
    <row r="56" spans="1:4">
      <c r="A56" s="1"/>
      <c r="B56" s="1"/>
      <c r="C56" s="1"/>
      <c r="D56" s="1"/>
    </row>
    <row r="57" spans="1:4">
      <c r="A57" s="1"/>
      <c r="B57" s="1"/>
      <c r="C57" s="1"/>
      <c r="D57" s="1"/>
    </row>
    <row r="58" spans="1:4">
      <c r="A58" s="1"/>
      <c r="B58" s="1"/>
      <c r="C58" s="1"/>
      <c r="D58" s="1"/>
    </row>
    <row r="59" spans="1:4">
      <c r="A59" s="1"/>
      <c r="B59" s="1"/>
      <c r="C59" s="1"/>
      <c r="D59" s="1"/>
    </row>
    <row r="60" spans="1:4">
      <c r="A60" s="1"/>
      <c r="B60" s="1"/>
      <c r="C60" s="1"/>
      <c r="D60" s="1"/>
    </row>
    <row r="61" spans="1:4">
      <c r="A61" s="1"/>
      <c r="B61" s="1"/>
      <c r="C61" s="1"/>
      <c r="D61" s="1"/>
    </row>
    <row r="62" spans="1:4">
      <c r="A62" s="1"/>
      <c r="B62" s="1"/>
      <c r="C62" s="1"/>
      <c r="D62" s="1"/>
    </row>
    <row r="63" spans="1:4">
      <c r="A63" s="1"/>
      <c r="B63" s="1"/>
      <c r="C63" s="1"/>
      <c r="D63" s="1"/>
    </row>
    <row r="64" spans="1:4">
      <c r="A64" s="1"/>
      <c r="B64" s="1"/>
      <c r="C64" s="1"/>
      <c r="D64" s="1"/>
    </row>
    <row r="65" spans="1:4">
      <c r="A65" s="1"/>
      <c r="B65" s="1"/>
      <c r="C65" s="1"/>
      <c r="D6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Completed worksheet</vt:lpstr>
      <vt:lpstr>Review patterns</vt:lpstr>
      <vt:lpstr>Ad audit</vt:lpstr>
      <vt:lpstr>Evidence quotes</vt:lpstr>
      <vt:lpstr>Source coverage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Anton Rogovik</cp:lastModifiedBy>
  <dcterms:created xsi:type="dcterms:W3CDTF">2026-09-12T01:54:14Z</dcterms:created>
  <dcterms:modified xsi:type="dcterms:W3CDTF">2026-09-12T01:54:14Z</dcterms:modified>
</cp:coreProperties>
</file>